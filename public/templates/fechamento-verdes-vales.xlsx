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Servidor\Dropbox\Fazenda\"/>
    </mc:Choice>
  </mc:AlternateContent>
  <workbookProtection workbookPassword="D3E1" lockStructure="1"/>
  <bookViews>
    <workbookView xWindow="0" yWindow="0" windowWidth="20460" windowHeight="7050"/>
  </bookViews>
  <sheets>
    <sheet name="Lançamentos" sheetId="1" r:id="rId1"/>
    <sheet name="Fechamento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8" i="1" l="1"/>
  <c r="J1008" i="2"/>
  <c r="A1008" i="1"/>
  <c r="A1008" i="2"/>
  <c r="I1008" i="2"/>
  <c r="H1008" i="2"/>
  <c r="G1008" i="2"/>
  <c r="F1008" i="2"/>
  <c r="D1008" i="2"/>
  <c r="C1008" i="2"/>
  <c r="B1008" i="2"/>
  <c r="J1007" i="1"/>
  <c r="J1007" i="2"/>
  <c r="A1007" i="1"/>
  <c r="A1007" i="2"/>
  <c r="I1007" i="2"/>
  <c r="H1007" i="2"/>
  <c r="G1007" i="2"/>
  <c r="F1007" i="2"/>
  <c r="D1007" i="2"/>
  <c r="C1007" i="2"/>
  <c r="B1007" i="2"/>
  <c r="J1006" i="1"/>
  <c r="J1006" i="2"/>
  <c r="A1006" i="1"/>
  <c r="A1006" i="2"/>
  <c r="I1006" i="2"/>
  <c r="H1006" i="2"/>
  <c r="G1006" i="2"/>
  <c r="F1006" i="2"/>
  <c r="D1006" i="2"/>
  <c r="C1006" i="2"/>
  <c r="B1006" i="2"/>
  <c r="J1005" i="1"/>
  <c r="J1005" i="2"/>
  <c r="A1005" i="1"/>
  <c r="A1005" i="2"/>
  <c r="I1005" i="2"/>
  <c r="H1005" i="2"/>
  <c r="G1005" i="2"/>
  <c r="F1005" i="2"/>
  <c r="D1005" i="2"/>
  <c r="C1005" i="2"/>
  <c r="B1005" i="2"/>
  <c r="J1004" i="1"/>
  <c r="J1004" i="2"/>
  <c r="A1004" i="1"/>
  <c r="A1004" i="2"/>
  <c r="I1004" i="2"/>
  <c r="H1004" i="2"/>
  <c r="G1004" i="2"/>
  <c r="F1004" i="2"/>
  <c r="D1004" i="2"/>
  <c r="C1004" i="2"/>
  <c r="B1004" i="2"/>
  <c r="J1003" i="1"/>
  <c r="J1003" i="2"/>
  <c r="A1003" i="1"/>
  <c r="A1003" i="2"/>
  <c r="I1003" i="2"/>
  <c r="H1003" i="2"/>
  <c r="G1003" i="2"/>
  <c r="F1003" i="2"/>
  <c r="D1003" i="2"/>
  <c r="C1003" i="2"/>
  <c r="B1003" i="2"/>
  <c r="J1002" i="1"/>
  <c r="J1002" i="2"/>
  <c r="A1002" i="1"/>
  <c r="A1002" i="2"/>
  <c r="I1002" i="2"/>
  <c r="H1002" i="2"/>
  <c r="G1002" i="2"/>
  <c r="F1002" i="2"/>
  <c r="D1002" i="2"/>
  <c r="C1002" i="2"/>
  <c r="B1002" i="2"/>
  <c r="J1001" i="1"/>
  <c r="J1001" i="2"/>
  <c r="A1001" i="1"/>
  <c r="A1001" i="2"/>
  <c r="I1001" i="2"/>
  <c r="H1001" i="2"/>
  <c r="G1001" i="2"/>
  <c r="F1001" i="2"/>
  <c r="D1001" i="2"/>
  <c r="C1001" i="2"/>
  <c r="B1001" i="2"/>
  <c r="J1000" i="1"/>
  <c r="J1000" i="2"/>
  <c r="A1000" i="1"/>
  <c r="A1000" i="2"/>
  <c r="I1000" i="2"/>
  <c r="H1000" i="2"/>
  <c r="G1000" i="2"/>
  <c r="F1000" i="2"/>
  <c r="D1000" i="2"/>
  <c r="C1000" i="2"/>
  <c r="B1000" i="2"/>
  <c r="J999" i="1"/>
  <c r="J999" i="2"/>
  <c r="A999" i="1"/>
  <c r="A999" i="2"/>
  <c r="I999" i="2"/>
  <c r="H999" i="2"/>
  <c r="G999" i="2"/>
  <c r="F999" i="2"/>
  <c r="D999" i="2"/>
  <c r="C999" i="2"/>
  <c r="B999" i="2"/>
  <c r="J998" i="1"/>
  <c r="J998" i="2"/>
  <c r="A998" i="1"/>
  <c r="A998" i="2"/>
  <c r="I998" i="2"/>
  <c r="H998" i="2"/>
  <c r="G998" i="2"/>
  <c r="F998" i="2"/>
  <c r="D998" i="2"/>
  <c r="C998" i="2"/>
  <c r="B998" i="2"/>
  <c r="J997" i="1"/>
  <c r="J997" i="2"/>
  <c r="A997" i="1"/>
  <c r="A997" i="2"/>
  <c r="I997" i="2"/>
  <c r="H997" i="2"/>
  <c r="G997" i="2"/>
  <c r="F997" i="2"/>
  <c r="D997" i="2"/>
  <c r="C997" i="2"/>
  <c r="B997" i="2"/>
  <c r="J996" i="1"/>
  <c r="J996" i="2"/>
  <c r="A996" i="1"/>
  <c r="A996" i="2"/>
  <c r="I996" i="2"/>
  <c r="H996" i="2"/>
  <c r="G996" i="2"/>
  <c r="F996" i="2"/>
  <c r="D996" i="2"/>
  <c r="C996" i="2"/>
  <c r="B996" i="2"/>
  <c r="J995" i="1"/>
  <c r="J995" i="2"/>
  <c r="A995" i="1"/>
  <c r="A995" i="2"/>
  <c r="I995" i="2"/>
  <c r="H995" i="2"/>
  <c r="G995" i="2"/>
  <c r="F995" i="2"/>
  <c r="D995" i="2"/>
  <c r="C995" i="2"/>
  <c r="B995" i="2"/>
  <c r="J994" i="1"/>
  <c r="J994" i="2"/>
  <c r="A994" i="1"/>
  <c r="A994" i="2"/>
  <c r="I994" i="2"/>
  <c r="H994" i="2"/>
  <c r="G994" i="2"/>
  <c r="F994" i="2"/>
  <c r="D994" i="2"/>
  <c r="C994" i="2"/>
  <c r="B994" i="2"/>
  <c r="J993" i="1"/>
  <c r="J993" i="2"/>
  <c r="A993" i="1"/>
  <c r="A993" i="2"/>
  <c r="I993" i="2"/>
  <c r="H993" i="2"/>
  <c r="G993" i="2"/>
  <c r="F993" i="2"/>
  <c r="D993" i="2"/>
  <c r="C993" i="2"/>
  <c r="B993" i="2"/>
  <c r="J992" i="1"/>
  <c r="J992" i="2"/>
  <c r="A992" i="1"/>
  <c r="A992" i="2"/>
  <c r="I992" i="2"/>
  <c r="H992" i="2"/>
  <c r="G992" i="2"/>
  <c r="F992" i="2"/>
  <c r="D992" i="2"/>
  <c r="C992" i="2"/>
  <c r="B992" i="2"/>
  <c r="J991" i="1"/>
  <c r="J991" i="2"/>
  <c r="A991" i="1"/>
  <c r="A991" i="2"/>
  <c r="I991" i="2"/>
  <c r="H991" i="2"/>
  <c r="G991" i="2"/>
  <c r="F991" i="2"/>
  <c r="D991" i="2"/>
  <c r="C991" i="2"/>
  <c r="B991" i="2"/>
  <c r="J990" i="1"/>
  <c r="J990" i="2"/>
  <c r="A990" i="1"/>
  <c r="A990" i="2"/>
  <c r="I990" i="2"/>
  <c r="H990" i="2"/>
  <c r="G990" i="2"/>
  <c r="F990" i="2"/>
  <c r="D990" i="2"/>
  <c r="C990" i="2"/>
  <c r="B990" i="2"/>
  <c r="J989" i="1"/>
  <c r="J989" i="2"/>
  <c r="A989" i="1"/>
  <c r="A989" i="2"/>
  <c r="I989" i="2"/>
  <c r="H989" i="2"/>
  <c r="G989" i="2"/>
  <c r="F989" i="2"/>
  <c r="D989" i="2"/>
  <c r="C989" i="2"/>
  <c r="B989" i="2"/>
  <c r="J988" i="1"/>
  <c r="J988" i="2"/>
  <c r="A988" i="1"/>
  <c r="A988" i="2"/>
  <c r="I988" i="2"/>
  <c r="H988" i="2"/>
  <c r="G988" i="2"/>
  <c r="F988" i="2"/>
  <c r="D988" i="2"/>
  <c r="C988" i="2"/>
  <c r="B988" i="2"/>
  <c r="J987" i="1"/>
  <c r="J987" i="2"/>
  <c r="A987" i="1"/>
  <c r="A987" i="2"/>
  <c r="I987" i="2"/>
  <c r="H987" i="2"/>
  <c r="G987" i="2"/>
  <c r="F987" i="2"/>
  <c r="D987" i="2"/>
  <c r="C987" i="2"/>
  <c r="B987" i="2"/>
  <c r="J986" i="1"/>
  <c r="J986" i="2"/>
  <c r="A986" i="1"/>
  <c r="A986" i="2"/>
  <c r="I986" i="2"/>
  <c r="H986" i="2"/>
  <c r="G986" i="2"/>
  <c r="F986" i="2"/>
  <c r="D986" i="2"/>
  <c r="C986" i="2"/>
  <c r="B986" i="2"/>
  <c r="J985" i="1"/>
  <c r="J985" i="2"/>
  <c r="A985" i="1"/>
  <c r="A985" i="2"/>
  <c r="I985" i="2"/>
  <c r="H985" i="2"/>
  <c r="G985" i="2"/>
  <c r="F985" i="2"/>
  <c r="D985" i="2"/>
  <c r="C985" i="2"/>
  <c r="B985" i="2"/>
  <c r="J984" i="1"/>
  <c r="J984" i="2"/>
  <c r="A984" i="1"/>
  <c r="A984" i="2"/>
  <c r="I984" i="2"/>
  <c r="H984" i="2"/>
  <c r="G984" i="2"/>
  <c r="F984" i="2"/>
  <c r="D984" i="2"/>
  <c r="C984" i="2"/>
  <c r="B984" i="2"/>
  <c r="J983" i="1"/>
  <c r="J983" i="2"/>
  <c r="A983" i="1"/>
  <c r="A983" i="2"/>
  <c r="I983" i="2"/>
  <c r="H983" i="2"/>
  <c r="G983" i="2"/>
  <c r="F983" i="2"/>
  <c r="D983" i="2"/>
  <c r="C983" i="2"/>
  <c r="B983" i="2"/>
  <c r="J982" i="1"/>
  <c r="J982" i="2"/>
  <c r="A982" i="1"/>
  <c r="A982" i="2"/>
  <c r="I982" i="2"/>
  <c r="H982" i="2"/>
  <c r="G982" i="2"/>
  <c r="F982" i="2"/>
  <c r="D982" i="2"/>
  <c r="C982" i="2"/>
  <c r="B982" i="2"/>
  <c r="J981" i="1"/>
  <c r="J981" i="2"/>
  <c r="A981" i="1"/>
  <c r="A981" i="2"/>
  <c r="I981" i="2"/>
  <c r="H981" i="2"/>
  <c r="G981" i="2"/>
  <c r="F981" i="2"/>
  <c r="D981" i="2"/>
  <c r="C981" i="2"/>
  <c r="B981" i="2"/>
  <c r="J980" i="1"/>
  <c r="J980" i="2"/>
  <c r="A980" i="1"/>
  <c r="A980" i="2"/>
  <c r="I980" i="2"/>
  <c r="H980" i="2"/>
  <c r="G980" i="2"/>
  <c r="F980" i="2"/>
  <c r="D980" i="2"/>
  <c r="C980" i="2"/>
  <c r="B980" i="2"/>
  <c r="J979" i="1"/>
  <c r="J979" i="2"/>
  <c r="A979" i="1"/>
  <c r="A979" i="2"/>
  <c r="I979" i="2"/>
  <c r="H979" i="2"/>
  <c r="G979" i="2"/>
  <c r="F979" i="2"/>
  <c r="D979" i="2"/>
  <c r="C979" i="2"/>
  <c r="B979" i="2"/>
  <c r="J978" i="1"/>
  <c r="J978" i="2"/>
  <c r="A978" i="1"/>
  <c r="A978" i="2"/>
  <c r="I978" i="2"/>
  <c r="H978" i="2"/>
  <c r="G978" i="2"/>
  <c r="F978" i="2"/>
  <c r="D978" i="2"/>
  <c r="C978" i="2"/>
  <c r="B978" i="2"/>
  <c r="J977" i="1"/>
  <c r="J977" i="2"/>
  <c r="A977" i="1"/>
  <c r="A977" i="2"/>
  <c r="I977" i="2"/>
  <c r="H977" i="2"/>
  <c r="G977" i="2"/>
  <c r="F977" i="2"/>
  <c r="D977" i="2"/>
  <c r="C977" i="2"/>
  <c r="B977" i="2"/>
  <c r="J976" i="1"/>
  <c r="J976" i="2"/>
  <c r="A976" i="1"/>
  <c r="A976" i="2"/>
  <c r="I976" i="2"/>
  <c r="H976" i="2"/>
  <c r="G976" i="2"/>
  <c r="F976" i="2"/>
  <c r="D976" i="2"/>
  <c r="C976" i="2"/>
  <c r="B976" i="2"/>
  <c r="J975" i="1"/>
  <c r="J975" i="2"/>
  <c r="A975" i="1"/>
  <c r="A975" i="2"/>
  <c r="I975" i="2"/>
  <c r="H975" i="2"/>
  <c r="G975" i="2"/>
  <c r="F975" i="2"/>
  <c r="D975" i="2"/>
  <c r="C975" i="2"/>
  <c r="B975" i="2"/>
  <c r="J974" i="1"/>
  <c r="J974" i="2"/>
  <c r="A974" i="1"/>
  <c r="A974" i="2"/>
  <c r="I974" i="2"/>
  <c r="H974" i="2"/>
  <c r="G974" i="2"/>
  <c r="F974" i="2"/>
  <c r="D974" i="2"/>
  <c r="C974" i="2"/>
  <c r="B974" i="2"/>
  <c r="J973" i="1"/>
  <c r="J973" i="2"/>
  <c r="A973" i="1"/>
  <c r="A973" i="2"/>
  <c r="I973" i="2"/>
  <c r="H973" i="2"/>
  <c r="G973" i="2"/>
  <c r="F973" i="2"/>
  <c r="D973" i="2"/>
  <c r="C973" i="2"/>
  <c r="B973" i="2"/>
  <c r="J972" i="1"/>
  <c r="J972" i="2"/>
  <c r="A972" i="1"/>
  <c r="A972" i="2"/>
  <c r="I972" i="2"/>
  <c r="H972" i="2"/>
  <c r="G972" i="2"/>
  <c r="F972" i="2"/>
  <c r="D972" i="2"/>
  <c r="C972" i="2"/>
  <c r="B972" i="2"/>
  <c r="J971" i="1"/>
  <c r="J971" i="2"/>
  <c r="A971" i="1"/>
  <c r="A971" i="2"/>
  <c r="I971" i="2"/>
  <c r="H971" i="2"/>
  <c r="G971" i="2"/>
  <c r="F971" i="2"/>
  <c r="D971" i="2"/>
  <c r="C971" i="2"/>
  <c r="B971" i="2"/>
  <c r="J970" i="1"/>
  <c r="J970" i="2"/>
  <c r="A970" i="1"/>
  <c r="A970" i="2"/>
  <c r="I970" i="2"/>
  <c r="H970" i="2"/>
  <c r="G970" i="2"/>
  <c r="F970" i="2"/>
  <c r="D970" i="2"/>
  <c r="C970" i="2"/>
  <c r="B970" i="2"/>
  <c r="J969" i="1"/>
  <c r="J969" i="2"/>
  <c r="A969" i="1"/>
  <c r="A969" i="2"/>
  <c r="I969" i="2"/>
  <c r="H969" i="2"/>
  <c r="G969" i="2"/>
  <c r="F969" i="2"/>
  <c r="D969" i="2"/>
  <c r="C969" i="2"/>
  <c r="B969" i="2"/>
  <c r="J968" i="1"/>
  <c r="J968" i="2"/>
  <c r="A968" i="1"/>
  <c r="A968" i="2"/>
  <c r="I968" i="2"/>
  <c r="H968" i="2"/>
  <c r="G968" i="2"/>
  <c r="F968" i="2"/>
  <c r="D968" i="2"/>
  <c r="C968" i="2"/>
  <c r="B968" i="2"/>
  <c r="J967" i="1"/>
  <c r="J967" i="2"/>
  <c r="A967" i="1"/>
  <c r="A967" i="2"/>
  <c r="I967" i="2"/>
  <c r="H967" i="2"/>
  <c r="G967" i="2"/>
  <c r="F967" i="2"/>
  <c r="D967" i="2"/>
  <c r="C967" i="2"/>
  <c r="B967" i="2"/>
  <c r="J966" i="1"/>
  <c r="J966" i="2"/>
  <c r="A966" i="1"/>
  <c r="A966" i="2"/>
  <c r="I966" i="2"/>
  <c r="H966" i="2"/>
  <c r="G966" i="2"/>
  <c r="F966" i="2"/>
  <c r="D966" i="2"/>
  <c r="C966" i="2"/>
  <c r="B966" i="2"/>
  <c r="J965" i="1"/>
  <c r="J965" i="2"/>
  <c r="A965" i="1"/>
  <c r="A965" i="2"/>
  <c r="I965" i="2"/>
  <c r="H965" i="2"/>
  <c r="G965" i="2"/>
  <c r="F965" i="2"/>
  <c r="D965" i="2"/>
  <c r="C965" i="2"/>
  <c r="B965" i="2"/>
  <c r="J964" i="1"/>
  <c r="J964" i="2"/>
  <c r="A964" i="1"/>
  <c r="A964" i="2"/>
  <c r="I964" i="2"/>
  <c r="H964" i="2"/>
  <c r="G964" i="2"/>
  <c r="F964" i="2"/>
  <c r="D964" i="2"/>
  <c r="C964" i="2"/>
  <c r="B964" i="2"/>
  <c r="J963" i="1"/>
  <c r="J963" i="2"/>
  <c r="A963" i="1"/>
  <c r="A963" i="2"/>
  <c r="I963" i="2"/>
  <c r="H963" i="2"/>
  <c r="G963" i="2"/>
  <c r="F963" i="2"/>
  <c r="D963" i="2"/>
  <c r="C963" i="2"/>
  <c r="B963" i="2"/>
  <c r="J962" i="1"/>
  <c r="J962" i="2"/>
  <c r="A962" i="1"/>
  <c r="A962" i="2"/>
  <c r="I962" i="2"/>
  <c r="H962" i="2"/>
  <c r="G962" i="2"/>
  <c r="F962" i="2"/>
  <c r="D962" i="2"/>
  <c r="C962" i="2"/>
  <c r="B962" i="2"/>
  <c r="J961" i="1"/>
  <c r="J961" i="2"/>
  <c r="A961" i="1"/>
  <c r="A961" i="2"/>
  <c r="I961" i="2"/>
  <c r="H961" i="2"/>
  <c r="G961" i="2"/>
  <c r="F961" i="2"/>
  <c r="D961" i="2"/>
  <c r="C961" i="2"/>
  <c r="B961" i="2"/>
  <c r="J960" i="1"/>
  <c r="J960" i="2"/>
  <c r="A960" i="1"/>
  <c r="A960" i="2"/>
  <c r="I960" i="2"/>
  <c r="H960" i="2"/>
  <c r="G960" i="2"/>
  <c r="F960" i="2"/>
  <c r="D960" i="2"/>
  <c r="C960" i="2"/>
  <c r="B960" i="2"/>
  <c r="J959" i="1"/>
  <c r="J959" i="2"/>
  <c r="A959" i="1"/>
  <c r="A959" i="2"/>
  <c r="I959" i="2"/>
  <c r="H959" i="2"/>
  <c r="G959" i="2"/>
  <c r="F959" i="2"/>
  <c r="D959" i="2"/>
  <c r="C959" i="2"/>
  <c r="B959" i="2"/>
  <c r="J958" i="1"/>
  <c r="J958" i="2"/>
  <c r="A958" i="1"/>
  <c r="A958" i="2"/>
  <c r="I958" i="2"/>
  <c r="H958" i="2"/>
  <c r="G958" i="2"/>
  <c r="F958" i="2"/>
  <c r="D958" i="2"/>
  <c r="C958" i="2"/>
  <c r="B958" i="2"/>
  <c r="J957" i="1"/>
  <c r="J957" i="2"/>
  <c r="A957" i="1"/>
  <c r="A957" i="2"/>
  <c r="I957" i="2"/>
  <c r="H957" i="2"/>
  <c r="G957" i="2"/>
  <c r="F957" i="2"/>
  <c r="D957" i="2"/>
  <c r="C957" i="2"/>
  <c r="B957" i="2"/>
  <c r="J956" i="1"/>
  <c r="J956" i="2"/>
  <c r="A956" i="1"/>
  <c r="A956" i="2"/>
  <c r="I956" i="2"/>
  <c r="H956" i="2"/>
  <c r="G956" i="2"/>
  <c r="F956" i="2"/>
  <c r="D956" i="2"/>
  <c r="C956" i="2"/>
  <c r="B956" i="2"/>
  <c r="J955" i="1"/>
  <c r="J955" i="2"/>
  <c r="A955" i="1"/>
  <c r="A955" i="2"/>
  <c r="I955" i="2"/>
  <c r="H955" i="2"/>
  <c r="G955" i="2"/>
  <c r="F955" i="2"/>
  <c r="D955" i="2"/>
  <c r="C955" i="2"/>
  <c r="B955" i="2"/>
  <c r="J954" i="1"/>
  <c r="J954" i="2"/>
  <c r="A954" i="1"/>
  <c r="A954" i="2"/>
  <c r="I954" i="2"/>
  <c r="H954" i="2"/>
  <c r="G954" i="2"/>
  <c r="F954" i="2"/>
  <c r="D954" i="2"/>
  <c r="C954" i="2"/>
  <c r="B954" i="2"/>
  <c r="J953" i="1"/>
  <c r="J953" i="2"/>
  <c r="A953" i="1"/>
  <c r="A953" i="2"/>
  <c r="I953" i="2"/>
  <c r="H953" i="2"/>
  <c r="G953" i="2"/>
  <c r="F953" i="2"/>
  <c r="D953" i="2"/>
  <c r="C953" i="2"/>
  <c r="B953" i="2"/>
  <c r="J952" i="1"/>
  <c r="J952" i="2"/>
  <c r="A952" i="1"/>
  <c r="A952" i="2"/>
  <c r="I952" i="2"/>
  <c r="H952" i="2"/>
  <c r="G952" i="2"/>
  <c r="F952" i="2"/>
  <c r="D952" i="2"/>
  <c r="C952" i="2"/>
  <c r="B952" i="2"/>
  <c r="J951" i="1"/>
  <c r="J951" i="2"/>
  <c r="A951" i="1"/>
  <c r="A951" i="2"/>
  <c r="I951" i="2"/>
  <c r="H951" i="2"/>
  <c r="G951" i="2"/>
  <c r="F951" i="2"/>
  <c r="D951" i="2"/>
  <c r="C951" i="2"/>
  <c r="B951" i="2"/>
  <c r="J950" i="1"/>
  <c r="J950" i="2"/>
  <c r="A950" i="1"/>
  <c r="A950" i="2"/>
  <c r="I950" i="2"/>
  <c r="H950" i="2"/>
  <c r="G950" i="2"/>
  <c r="F950" i="2"/>
  <c r="D950" i="2"/>
  <c r="C950" i="2"/>
  <c r="B950" i="2"/>
  <c r="J949" i="1"/>
  <c r="J949" i="2"/>
  <c r="A949" i="1"/>
  <c r="A949" i="2"/>
  <c r="I949" i="2"/>
  <c r="H949" i="2"/>
  <c r="G949" i="2"/>
  <c r="F949" i="2"/>
  <c r="D949" i="2"/>
  <c r="C949" i="2"/>
  <c r="B949" i="2"/>
  <c r="J948" i="1"/>
  <c r="J948" i="2"/>
  <c r="A948" i="1"/>
  <c r="A948" i="2"/>
  <c r="I948" i="2"/>
  <c r="H948" i="2"/>
  <c r="G948" i="2"/>
  <c r="F948" i="2"/>
  <c r="D948" i="2"/>
  <c r="C948" i="2"/>
  <c r="B948" i="2"/>
  <c r="J947" i="1"/>
  <c r="J947" i="2"/>
  <c r="A947" i="1"/>
  <c r="A947" i="2"/>
  <c r="I947" i="2"/>
  <c r="H947" i="2"/>
  <c r="G947" i="2"/>
  <c r="F947" i="2"/>
  <c r="D947" i="2"/>
  <c r="C947" i="2"/>
  <c r="B947" i="2"/>
  <c r="J946" i="1"/>
  <c r="J946" i="2"/>
  <c r="A946" i="1"/>
  <c r="A946" i="2"/>
  <c r="I946" i="2"/>
  <c r="H946" i="2"/>
  <c r="G946" i="2"/>
  <c r="F946" i="2"/>
  <c r="D946" i="2"/>
  <c r="C946" i="2"/>
  <c r="B946" i="2"/>
  <c r="J945" i="1"/>
  <c r="J945" i="2"/>
  <c r="A945" i="1"/>
  <c r="A945" i="2"/>
  <c r="I945" i="2"/>
  <c r="H945" i="2"/>
  <c r="G945" i="2"/>
  <c r="F945" i="2"/>
  <c r="D945" i="2"/>
  <c r="C945" i="2"/>
  <c r="B945" i="2"/>
  <c r="J944" i="1"/>
  <c r="J944" i="2"/>
  <c r="A944" i="1"/>
  <c r="A944" i="2"/>
  <c r="I944" i="2"/>
  <c r="H944" i="2"/>
  <c r="G944" i="2"/>
  <c r="F944" i="2"/>
  <c r="D944" i="2"/>
  <c r="C944" i="2"/>
  <c r="B944" i="2"/>
  <c r="J943" i="1"/>
  <c r="J943" i="2"/>
  <c r="A943" i="1"/>
  <c r="A943" i="2"/>
  <c r="I943" i="2"/>
  <c r="H943" i="2"/>
  <c r="G943" i="2"/>
  <c r="F943" i="2"/>
  <c r="D943" i="2"/>
  <c r="C943" i="2"/>
  <c r="B943" i="2"/>
  <c r="J942" i="1"/>
  <c r="J942" i="2"/>
  <c r="A942" i="1"/>
  <c r="A942" i="2"/>
  <c r="I942" i="2"/>
  <c r="H942" i="2"/>
  <c r="G942" i="2"/>
  <c r="F942" i="2"/>
  <c r="D942" i="2"/>
  <c r="C942" i="2"/>
  <c r="B942" i="2"/>
  <c r="J941" i="1"/>
  <c r="J941" i="2"/>
  <c r="A941" i="1"/>
  <c r="A941" i="2"/>
  <c r="I941" i="2"/>
  <c r="H941" i="2"/>
  <c r="G941" i="2"/>
  <c r="F941" i="2"/>
  <c r="D941" i="2"/>
  <c r="C941" i="2"/>
  <c r="B941" i="2"/>
  <c r="J940" i="1"/>
  <c r="J940" i="2"/>
  <c r="A940" i="1"/>
  <c r="A940" i="2"/>
  <c r="I940" i="2"/>
  <c r="H940" i="2"/>
  <c r="G940" i="2"/>
  <c r="F940" i="2"/>
  <c r="D940" i="2"/>
  <c r="C940" i="2"/>
  <c r="B940" i="2"/>
  <c r="J939" i="1"/>
  <c r="J939" i="2"/>
  <c r="A939" i="1"/>
  <c r="A939" i="2"/>
  <c r="I939" i="2"/>
  <c r="H939" i="2"/>
  <c r="G939" i="2"/>
  <c r="F939" i="2"/>
  <c r="D939" i="2"/>
  <c r="C939" i="2"/>
  <c r="B939" i="2"/>
  <c r="J938" i="1"/>
  <c r="J938" i="2"/>
  <c r="A938" i="1"/>
  <c r="A938" i="2"/>
  <c r="I938" i="2"/>
  <c r="H938" i="2"/>
  <c r="G938" i="2"/>
  <c r="F938" i="2"/>
  <c r="D938" i="2"/>
  <c r="C938" i="2"/>
  <c r="B938" i="2"/>
  <c r="J937" i="1"/>
  <c r="J937" i="2"/>
  <c r="A937" i="1"/>
  <c r="A937" i="2"/>
  <c r="I937" i="2"/>
  <c r="H937" i="2"/>
  <c r="G937" i="2"/>
  <c r="F937" i="2"/>
  <c r="D937" i="2"/>
  <c r="C937" i="2"/>
  <c r="B937" i="2"/>
  <c r="J936" i="1"/>
  <c r="J936" i="2"/>
  <c r="A936" i="1"/>
  <c r="A936" i="2"/>
  <c r="I936" i="2"/>
  <c r="H936" i="2"/>
  <c r="G936" i="2"/>
  <c r="F936" i="2"/>
  <c r="D936" i="2"/>
  <c r="C936" i="2"/>
  <c r="B936" i="2"/>
  <c r="J935" i="1"/>
  <c r="J935" i="2"/>
  <c r="A935" i="1"/>
  <c r="A935" i="2"/>
  <c r="I935" i="2"/>
  <c r="H935" i="2"/>
  <c r="G935" i="2"/>
  <c r="F935" i="2"/>
  <c r="D935" i="2"/>
  <c r="C935" i="2"/>
  <c r="B935" i="2"/>
  <c r="J934" i="1"/>
  <c r="J934" i="2"/>
  <c r="A934" i="1"/>
  <c r="A934" i="2"/>
  <c r="I934" i="2"/>
  <c r="H934" i="2"/>
  <c r="G934" i="2"/>
  <c r="F934" i="2"/>
  <c r="D934" i="2"/>
  <c r="C934" i="2"/>
  <c r="B934" i="2"/>
  <c r="J933" i="1"/>
  <c r="J933" i="2"/>
  <c r="A933" i="1"/>
  <c r="A933" i="2"/>
  <c r="I933" i="2"/>
  <c r="H933" i="2"/>
  <c r="G933" i="2"/>
  <c r="F933" i="2"/>
  <c r="D933" i="2"/>
  <c r="C933" i="2"/>
  <c r="B933" i="2"/>
  <c r="J932" i="1"/>
  <c r="J932" i="2"/>
  <c r="A932" i="1"/>
  <c r="A932" i="2"/>
  <c r="I932" i="2"/>
  <c r="H932" i="2"/>
  <c r="G932" i="2"/>
  <c r="F932" i="2"/>
  <c r="D932" i="2"/>
  <c r="C932" i="2"/>
  <c r="B932" i="2"/>
  <c r="J931" i="1"/>
  <c r="J931" i="2"/>
  <c r="A931" i="1"/>
  <c r="A931" i="2"/>
  <c r="I931" i="2"/>
  <c r="H931" i="2"/>
  <c r="G931" i="2"/>
  <c r="F931" i="2"/>
  <c r="D931" i="2"/>
  <c r="C931" i="2"/>
  <c r="B931" i="2"/>
  <c r="J930" i="1"/>
  <c r="J930" i="2"/>
  <c r="A930" i="1"/>
  <c r="A930" i="2"/>
  <c r="I930" i="2"/>
  <c r="H930" i="2"/>
  <c r="G930" i="2"/>
  <c r="F930" i="2"/>
  <c r="D930" i="2"/>
  <c r="C930" i="2"/>
  <c r="B930" i="2"/>
  <c r="J929" i="1"/>
  <c r="J929" i="2"/>
  <c r="A929" i="1"/>
  <c r="A929" i="2"/>
  <c r="I929" i="2"/>
  <c r="H929" i="2"/>
  <c r="G929" i="2"/>
  <c r="F929" i="2"/>
  <c r="D929" i="2"/>
  <c r="C929" i="2"/>
  <c r="B929" i="2"/>
  <c r="J928" i="1"/>
  <c r="J928" i="2"/>
  <c r="A928" i="1"/>
  <c r="A928" i="2"/>
  <c r="I928" i="2"/>
  <c r="H928" i="2"/>
  <c r="G928" i="2"/>
  <c r="F928" i="2"/>
  <c r="D928" i="2"/>
  <c r="C928" i="2"/>
  <c r="B928" i="2"/>
  <c r="J927" i="1"/>
  <c r="J927" i="2"/>
  <c r="A927" i="1"/>
  <c r="A927" i="2"/>
  <c r="I927" i="2"/>
  <c r="H927" i="2"/>
  <c r="G927" i="2"/>
  <c r="F927" i="2"/>
  <c r="D927" i="2"/>
  <c r="C927" i="2"/>
  <c r="B927" i="2"/>
  <c r="J926" i="1"/>
  <c r="J926" i="2"/>
  <c r="A926" i="1"/>
  <c r="A926" i="2"/>
  <c r="I926" i="2"/>
  <c r="H926" i="2"/>
  <c r="G926" i="2"/>
  <c r="F926" i="2"/>
  <c r="D926" i="2"/>
  <c r="C926" i="2"/>
  <c r="B926" i="2"/>
  <c r="J925" i="1"/>
  <c r="J925" i="2"/>
  <c r="A925" i="1"/>
  <c r="A925" i="2"/>
  <c r="I925" i="2"/>
  <c r="H925" i="2"/>
  <c r="G925" i="2"/>
  <c r="F925" i="2"/>
  <c r="D925" i="2"/>
  <c r="C925" i="2"/>
  <c r="B925" i="2"/>
  <c r="J924" i="1"/>
  <c r="J924" i="2"/>
  <c r="A924" i="1"/>
  <c r="A924" i="2"/>
  <c r="I924" i="2"/>
  <c r="H924" i="2"/>
  <c r="G924" i="2"/>
  <c r="F924" i="2"/>
  <c r="D924" i="2"/>
  <c r="C924" i="2"/>
  <c r="B924" i="2"/>
  <c r="J923" i="1"/>
  <c r="J923" i="2"/>
  <c r="A923" i="1"/>
  <c r="A923" i="2"/>
  <c r="I923" i="2"/>
  <c r="H923" i="2"/>
  <c r="G923" i="2"/>
  <c r="F923" i="2"/>
  <c r="D923" i="2"/>
  <c r="C923" i="2"/>
  <c r="B923" i="2"/>
  <c r="J922" i="1"/>
  <c r="J922" i="2"/>
  <c r="A922" i="1"/>
  <c r="A922" i="2"/>
  <c r="I922" i="2"/>
  <c r="H922" i="2"/>
  <c r="G922" i="2"/>
  <c r="F922" i="2"/>
  <c r="D922" i="2"/>
  <c r="C922" i="2"/>
  <c r="B922" i="2"/>
  <c r="J921" i="1"/>
  <c r="J921" i="2"/>
  <c r="A921" i="1"/>
  <c r="A921" i="2"/>
  <c r="I921" i="2"/>
  <c r="H921" i="2"/>
  <c r="G921" i="2"/>
  <c r="F921" i="2"/>
  <c r="D921" i="2"/>
  <c r="C921" i="2"/>
  <c r="B921" i="2"/>
  <c r="J920" i="1"/>
  <c r="J920" i="2"/>
  <c r="A920" i="1"/>
  <c r="A920" i="2"/>
  <c r="I920" i="2"/>
  <c r="H920" i="2"/>
  <c r="G920" i="2"/>
  <c r="F920" i="2"/>
  <c r="D920" i="2"/>
  <c r="C920" i="2"/>
  <c r="B920" i="2"/>
  <c r="J919" i="1"/>
  <c r="J919" i="2"/>
  <c r="A919" i="1"/>
  <c r="A919" i="2"/>
  <c r="I919" i="2"/>
  <c r="H919" i="2"/>
  <c r="G919" i="2"/>
  <c r="F919" i="2"/>
  <c r="D919" i="2"/>
  <c r="C919" i="2"/>
  <c r="B919" i="2"/>
  <c r="J918" i="1"/>
  <c r="J918" i="2"/>
  <c r="A918" i="1"/>
  <c r="A918" i="2"/>
  <c r="I918" i="2"/>
  <c r="H918" i="2"/>
  <c r="G918" i="2"/>
  <c r="F918" i="2"/>
  <c r="D918" i="2"/>
  <c r="C918" i="2"/>
  <c r="B918" i="2"/>
  <c r="J917" i="1"/>
  <c r="J917" i="2"/>
  <c r="A917" i="1"/>
  <c r="A917" i="2"/>
  <c r="I917" i="2"/>
  <c r="H917" i="2"/>
  <c r="G917" i="2"/>
  <c r="F917" i="2"/>
  <c r="D917" i="2"/>
  <c r="C917" i="2"/>
  <c r="B917" i="2"/>
  <c r="J916" i="1"/>
  <c r="J916" i="2"/>
  <c r="A916" i="1"/>
  <c r="A916" i="2"/>
  <c r="I916" i="2"/>
  <c r="H916" i="2"/>
  <c r="G916" i="2"/>
  <c r="F916" i="2"/>
  <c r="D916" i="2"/>
  <c r="C916" i="2"/>
  <c r="B916" i="2"/>
  <c r="J915" i="1"/>
  <c r="J915" i="2"/>
  <c r="A915" i="1"/>
  <c r="A915" i="2"/>
  <c r="I915" i="2"/>
  <c r="H915" i="2"/>
  <c r="G915" i="2"/>
  <c r="F915" i="2"/>
  <c r="D915" i="2"/>
  <c r="C915" i="2"/>
  <c r="B915" i="2"/>
  <c r="J914" i="1"/>
  <c r="J914" i="2"/>
  <c r="A914" i="1"/>
  <c r="A914" i="2"/>
  <c r="I914" i="2"/>
  <c r="H914" i="2"/>
  <c r="G914" i="2"/>
  <c r="F914" i="2"/>
  <c r="D914" i="2"/>
  <c r="C914" i="2"/>
  <c r="B914" i="2"/>
  <c r="J913" i="1"/>
  <c r="J913" i="2"/>
  <c r="A913" i="1"/>
  <c r="A913" i="2"/>
  <c r="I913" i="2"/>
  <c r="H913" i="2"/>
  <c r="G913" i="2"/>
  <c r="F913" i="2"/>
  <c r="D913" i="2"/>
  <c r="C913" i="2"/>
  <c r="B913" i="2"/>
  <c r="J912" i="1"/>
  <c r="J912" i="2"/>
  <c r="A912" i="1"/>
  <c r="A912" i="2"/>
  <c r="I912" i="2"/>
  <c r="H912" i="2"/>
  <c r="G912" i="2"/>
  <c r="F912" i="2"/>
  <c r="D912" i="2"/>
  <c r="C912" i="2"/>
  <c r="B912" i="2"/>
  <c r="J911" i="1"/>
  <c r="J911" i="2"/>
  <c r="A911" i="1"/>
  <c r="A911" i="2"/>
  <c r="I911" i="2"/>
  <c r="H911" i="2"/>
  <c r="G911" i="2"/>
  <c r="F911" i="2"/>
  <c r="D911" i="2"/>
  <c r="C911" i="2"/>
  <c r="B911" i="2"/>
  <c r="J910" i="1"/>
  <c r="J910" i="2"/>
  <c r="A910" i="1"/>
  <c r="A910" i="2"/>
  <c r="I910" i="2"/>
  <c r="H910" i="2"/>
  <c r="G910" i="2"/>
  <c r="F910" i="2"/>
  <c r="D910" i="2"/>
  <c r="C910" i="2"/>
  <c r="B910" i="2"/>
  <c r="J909" i="1"/>
  <c r="J909" i="2"/>
  <c r="A909" i="1"/>
  <c r="A909" i="2"/>
  <c r="I909" i="2"/>
  <c r="H909" i="2"/>
  <c r="G909" i="2"/>
  <c r="F909" i="2"/>
  <c r="D909" i="2"/>
  <c r="C909" i="2"/>
  <c r="B909" i="2"/>
  <c r="J908" i="1"/>
  <c r="J908" i="2"/>
  <c r="A908" i="1"/>
  <c r="A908" i="2"/>
  <c r="I908" i="2"/>
  <c r="H908" i="2"/>
  <c r="G908" i="2"/>
  <c r="F908" i="2"/>
  <c r="D908" i="2"/>
  <c r="C908" i="2"/>
  <c r="B908" i="2"/>
  <c r="J907" i="1"/>
  <c r="J907" i="2"/>
  <c r="A907" i="1"/>
  <c r="A907" i="2"/>
  <c r="I907" i="2"/>
  <c r="H907" i="2"/>
  <c r="G907" i="2"/>
  <c r="F907" i="2"/>
  <c r="D907" i="2"/>
  <c r="C907" i="2"/>
  <c r="B907" i="2"/>
  <c r="J906" i="1"/>
  <c r="J906" i="2"/>
  <c r="A906" i="1"/>
  <c r="A906" i="2"/>
  <c r="I906" i="2"/>
  <c r="H906" i="2"/>
  <c r="G906" i="2"/>
  <c r="F906" i="2"/>
  <c r="D906" i="2"/>
  <c r="C906" i="2"/>
  <c r="B906" i="2"/>
  <c r="J905" i="1"/>
  <c r="J905" i="2"/>
  <c r="A905" i="1"/>
  <c r="A905" i="2"/>
  <c r="I905" i="2"/>
  <c r="H905" i="2"/>
  <c r="G905" i="2"/>
  <c r="F905" i="2"/>
  <c r="D905" i="2"/>
  <c r="C905" i="2"/>
  <c r="B905" i="2"/>
  <c r="J904" i="1"/>
  <c r="J904" i="2"/>
  <c r="A904" i="1"/>
  <c r="A904" i="2"/>
  <c r="I904" i="2"/>
  <c r="H904" i="2"/>
  <c r="G904" i="2"/>
  <c r="F904" i="2"/>
  <c r="D904" i="2"/>
  <c r="C904" i="2"/>
  <c r="B904" i="2"/>
  <c r="J903" i="1"/>
  <c r="J903" i="2"/>
  <c r="A903" i="1"/>
  <c r="A903" i="2"/>
  <c r="I903" i="2"/>
  <c r="H903" i="2"/>
  <c r="G903" i="2"/>
  <c r="F903" i="2"/>
  <c r="D903" i="2"/>
  <c r="C903" i="2"/>
  <c r="B903" i="2"/>
  <c r="J902" i="1"/>
  <c r="J902" i="2"/>
  <c r="A902" i="1"/>
  <c r="A902" i="2"/>
  <c r="I902" i="2"/>
  <c r="H902" i="2"/>
  <c r="G902" i="2"/>
  <c r="F902" i="2"/>
  <c r="D902" i="2"/>
  <c r="C902" i="2"/>
  <c r="B902" i="2"/>
  <c r="J901" i="1"/>
  <c r="J901" i="2"/>
  <c r="A901" i="1"/>
  <c r="A901" i="2"/>
  <c r="I901" i="2"/>
  <c r="H901" i="2"/>
  <c r="G901" i="2"/>
  <c r="F901" i="2"/>
  <c r="D901" i="2"/>
  <c r="C901" i="2"/>
  <c r="B901" i="2"/>
  <c r="J900" i="1"/>
  <c r="J900" i="2"/>
  <c r="A900" i="1"/>
  <c r="A900" i="2"/>
  <c r="I900" i="2"/>
  <c r="H900" i="2"/>
  <c r="G900" i="2"/>
  <c r="F900" i="2"/>
  <c r="D900" i="2"/>
  <c r="C900" i="2"/>
  <c r="B900" i="2"/>
  <c r="J899" i="1"/>
  <c r="J899" i="2"/>
  <c r="A899" i="1"/>
  <c r="A899" i="2"/>
  <c r="I899" i="2"/>
  <c r="H899" i="2"/>
  <c r="G899" i="2"/>
  <c r="F899" i="2"/>
  <c r="D899" i="2"/>
  <c r="C899" i="2"/>
  <c r="B899" i="2"/>
  <c r="J898" i="1"/>
  <c r="J898" i="2"/>
  <c r="A898" i="1"/>
  <c r="A898" i="2"/>
  <c r="I898" i="2"/>
  <c r="H898" i="2"/>
  <c r="G898" i="2"/>
  <c r="F898" i="2"/>
  <c r="D898" i="2"/>
  <c r="C898" i="2"/>
  <c r="B898" i="2"/>
  <c r="J897" i="1"/>
  <c r="J897" i="2"/>
  <c r="A897" i="1"/>
  <c r="A897" i="2"/>
  <c r="I897" i="2"/>
  <c r="H897" i="2"/>
  <c r="G897" i="2"/>
  <c r="F897" i="2"/>
  <c r="D897" i="2"/>
  <c r="C897" i="2"/>
  <c r="B897" i="2"/>
  <c r="J896" i="1"/>
  <c r="J896" i="2"/>
  <c r="A896" i="1"/>
  <c r="A896" i="2"/>
  <c r="I896" i="2"/>
  <c r="H896" i="2"/>
  <c r="G896" i="2"/>
  <c r="F896" i="2"/>
  <c r="D896" i="2"/>
  <c r="C896" i="2"/>
  <c r="B896" i="2"/>
  <c r="J895" i="1"/>
  <c r="J895" i="2"/>
  <c r="A895" i="1"/>
  <c r="A895" i="2"/>
  <c r="I895" i="2"/>
  <c r="H895" i="2"/>
  <c r="G895" i="2"/>
  <c r="F895" i="2"/>
  <c r="D895" i="2"/>
  <c r="C895" i="2"/>
  <c r="B895" i="2"/>
  <c r="J894" i="1"/>
  <c r="J894" i="2"/>
  <c r="A894" i="1"/>
  <c r="A894" i="2"/>
  <c r="I894" i="2"/>
  <c r="H894" i="2"/>
  <c r="G894" i="2"/>
  <c r="F894" i="2"/>
  <c r="D894" i="2"/>
  <c r="C894" i="2"/>
  <c r="B894" i="2"/>
  <c r="J893" i="1"/>
  <c r="J893" i="2"/>
  <c r="A893" i="1"/>
  <c r="A893" i="2"/>
  <c r="I893" i="2"/>
  <c r="H893" i="2"/>
  <c r="G893" i="2"/>
  <c r="F893" i="2"/>
  <c r="D893" i="2"/>
  <c r="C893" i="2"/>
  <c r="B893" i="2"/>
  <c r="J892" i="1"/>
  <c r="J892" i="2"/>
  <c r="A892" i="1"/>
  <c r="A892" i="2"/>
  <c r="I892" i="2"/>
  <c r="H892" i="2"/>
  <c r="G892" i="2"/>
  <c r="F892" i="2"/>
  <c r="D892" i="2"/>
  <c r="C892" i="2"/>
  <c r="B892" i="2"/>
  <c r="J891" i="1"/>
  <c r="J891" i="2"/>
  <c r="A891" i="1"/>
  <c r="A891" i="2"/>
  <c r="I891" i="2"/>
  <c r="H891" i="2"/>
  <c r="G891" i="2"/>
  <c r="F891" i="2"/>
  <c r="D891" i="2"/>
  <c r="C891" i="2"/>
  <c r="B891" i="2"/>
  <c r="J890" i="1"/>
  <c r="J890" i="2"/>
  <c r="A890" i="1"/>
  <c r="A890" i="2"/>
  <c r="I890" i="2"/>
  <c r="H890" i="2"/>
  <c r="G890" i="2"/>
  <c r="F890" i="2"/>
  <c r="D890" i="2"/>
  <c r="C890" i="2"/>
  <c r="B890" i="2"/>
  <c r="J889" i="1"/>
  <c r="J889" i="2"/>
  <c r="A889" i="1"/>
  <c r="A889" i="2"/>
  <c r="I889" i="2"/>
  <c r="H889" i="2"/>
  <c r="G889" i="2"/>
  <c r="F889" i="2"/>
  <c r="D889" i="2"/>
  <c r="C889" i="2"/>
  <c r="B889" i="2"/>
  <c r="J888" i="1"/>
  <c r="J888" i="2"/>
  <c r="A888" i="1"/>
  <c r="A888" i="2"/>
  <c r="I888" i="2"/>
  <c r="H888" i="2"/>
  <c r="G888" i="2"/>
  <c r="F888" i="2"/>
  <c r="D888" i="2"/>
  <c r="C888" i="2"/>
  <c r="B888" i="2"/>
  <c r="J887" i="1"/>
  <c r="J887" i="2"/>
  <c r="A887" i="1"/>
  <c r="A887" i="2"/>
  <c r="I887" i="2"/>
  <c r="H887" i="2"/>
  <c r="G887" i="2"/>
  <c r="F887" i="2"/>
  <c r="D887" i="2"/>
  <c r="C887" i="2"/>
  <c r="B887" i="2"/>
  <c r="J886" i="1"/>
  <c r="J886" i="2"/>
  <c r="A886" i="1"/>
  <c r="A886" i="2"/>
  <c r="I886" i="2"/>
  <c r="H886" i="2"/>
  <c r="G886" i="2"/>
  <c r="F886" i="2"/>
  <c r="D886" i="2"/>
  <c r="C886" i="2"/>
  <c r="B886" i="2"/>
  <c r="J885" i="1"/>
  <c r="J885" i="2"/>
  <c r="A885" i="1"/>
  <c r="A885" i="2"/>
  <c r="I885" i="2"/>
  <c r="H885" i="2"/>
  <c r="G885" i="2"/>
  <c r="F885" i="2"/>
  <c r="D885" i="2"/>
  <c r="C885" i="2"/>
  <c r="B885" i="2"/>
  <c r="J884" i="1"/>
  <c r="J884" i="2"/>
  <c r="A884" i="1"/>
  <c r="A884" i="2"/>
  <c r="I884" i="2"/>
  <c r="H884" i="2"/>
  <c r="G884" i="2"/>
  <c r="F884" i="2"/>
  <c r="D884" i="2"/>
  <c r="C884" i="2"/>
  <c r="B884" i="2"/>
  <c r="J883" i="1"/>
  <c r="J883" i="2"/>
  <c r="A883" i="1"/>
  <c r="A883" i="2"/>
  <c r="I883" i="2"/>
  <c r="H883" i="2"/>
  <c r="G883" i="2"/>
  <c r="F883" i="2"/>
  <c r="D883" i="2"/>
  <c r="C883" i="2"/>
  <c r="B883" i="2"/>
  <c r="J882" i="1"/>
  <c r="J882" i="2"/>
  <c r="A882" i="1"/>
  <c r="A882" i="2"/>
  <c r="I882" i="2"/>
  <c r="H882" i="2"/>
  <c r="G882" i="2"/>
  <c r="F882" i="2"/>
  <c r="D882" i="2"/>
  <c r="C882" i="2"/>
  <c r="B882" i="2"/>
  <c r="J881" i="1"/>
  <c r="J881" i="2"/>
  <c r="A881" i="1"/>
  <c r="A881" i="2"/>
  <c r="I881" i="2"/>
  <c r="H881" i="2"/>
  <c r="G881" i="2"/>
  <c r="F881" i="2"/>
  <c r="D881" i="2"/>
  <c r="C881" i="2"/>
  <c r="B881" i="2"/>
  <c r="J880" i="1"/>
  <c r="J880" i="2"/>
  <c r="A880" i="1"/>
  <c r="A880" i="2"/>
  <c r="I880" i="2"/>
  <c r="H880" i="2"/>
  <c r="G880" i="2"/>
  <c r="F880" i="2"/>
  <c r="D880" i="2"/>
  <c r="C880" i="2"/>
  <c r="B880" i="2"/>
  <c r="J879" i="1"/>
  <c r="J879" i="2"/>
  <c r="A879" i="1"/>
  <c r="A879" i="2"/>
  <c r="I879" i="2"/>
  <c r="H879" i="2"/>
  <c r="G879" i="2"/>
  <c r="F879" i="2"/>
  <c r="D879" i="2"/>
  <c r="C879" i="2"/>
  <c r="B879" i="2"/>
  <c r="J878" i="1"/>
  <c r="J878" i="2"/>
  <c r="A878" i="1"/>
  <c r="A878" i="2"/>
  <c r="I878" i="2"/>
  <c r="H878" i="2"/>
  <c r="G878" i="2"/>
  <c r="F878" i="2"/>
  <c r="D878" i="2"/>
  <c r="C878" i="2"/>
  <c r="B878" i="2"/>
  <c r="J877" i="1"/>
  <c r="J877" i="2"/>
  <c r="A877" i="1"/>
  <c r="A877" i="2"/>
  <c r="I877" i="2"/>
  <c r="H877" i="2"/>
  <c r="G877" i="2"/>
  <c r="F877" i="2"/>
  <c r="D877" i="2"/>
  <c r="C877" i="2"/>
  <c r="B877" i="2"/>
  <c r="J876" i="1"/>
  <c r="J876" i="2"/>
  <c r="A876" i="1"/>
  <c r="A876" i="2"/>
  <c r="I876" i="2"/>
  <c r="H876" i="2"/>
  <c r="G876" i="2"/>
  <c r="F876" i="2"/>
  <c r="D876" i="2"/>
  <c r="C876" i="2"/>
  <c r="B876" i="2"/>
  <c r="J875" i="1"/>
  <c r="J875" i="2"/>
  <c r="A875" i="1"/>
  <c r="A875" i="2"/>
  <c r="I875" i="2"/>
  <c r="H875" i="2"/>
  <c r="G875" i="2"/>
  <c r="F875" i="2"/>
  <c r="D875" i="2"/>
  <c r="C875" i="2"/>
  <c r="B875" i="2"/>
  <c r="J874" i="1"/>
  <c r="J874" i="2"/>
  <c r="A874" i="1"/>
  <c r="A874" i="2"/>
  <c r="I874" i="2"/>
  <c r="H874" i="2"/>
  <c r="G874" i="2"/>
  <c r="F874" i="2"/>
  <c r="D874" i="2"/>
  <c r="C874" i="2"/>
  <c r="B874" i="2"/>
  <c r="J873" i="1"/>
  <c r="J873" i="2"/>
  <c r="A873" i="1"/>
  <c r="A873" i="2"/>
  <c r="I873" i="2"/>
  <c r="H873" i="2"/>
  <c r="G873" i="2"/>
  <c r="F873" i="2"/>
  <c r="D873" i="2"/>
  <c r="C873" i="2"/>
  <c r="B873" i="2"/>
  <c r="J872" i="1"/>
  <c r="J872" i="2"/>
  <c r="A872" i="1"/>
  <c r="A872" i="2"/>
  <c r="I872" i="2"/>
  <c r="H872" i="2"/>
  <c r="G872" i="2"/>
  <c r="F872" i="2"/>
  <c r="D872" i="2"/>
  <c r="C872" i="2"/>
  <c r="B872" i="2"/>
  <c r="J871" i="1"/>
  <c r="J871" i="2"/>
  <c r="A871" i="1"/>
  <c r="A871" i="2"/>
  <c r="I871" i="2"/>
  <c r="H871" i="2"/>
  <c r="G871" i="2"/>
  <c r="F871" i="2"/>
  <c r="D871" i="2"/>
  <c r="C871" i="2"/>
  <c r="B871" i="2"/>
  <c r="J870" i="1"/>
  <c r="J870" i="2"/>
  <c r="A870" i="1"/>
  <c r="A870" i="2"/>
  <c r="I870" i="2"/>
  <c r="H870" i="2"/>
  <c r="G870" i="2"/>
  <c r="F870" i="2"/>
  <c r="D870" i="2"/>
  <c r="C870" i="2"/>
  <c r="B870" i="2"/>
  <c r="J869" i="1"/>
  <c r="J869" i="2"/>
  <c r="A869" i="1"/>
  <c r="A869" i="2"/>
  <c r="I869" i="2"/>
  <c r="H869" i="2"/>
  <c r="G869" i="2"/>
  <c r="F869" i="2"/>
  <c r="D869" i="2"/>
  <c r="C869" i="2"/>
  <c r="B869" i="2"/>
  <c r="J868" i="1"/>
  <c r="J868" i="2"/>
  <c r="A868" i="1"/>
  <c r="A868" i="2"/>
  <c r="I868" i="2"/>
  <c r="H868" i="2"/>
  <c r="G868" i="2"/>
  <c r="F868" i="2"/>
  <c r="D868" i="2"/>
  <c r="C868" i="2"/>
  <c r="B868" i="2"/>
  <c r="J867" i="1"/>
  <c r="J867" i="2"/>
  <c r="A867" i="1"/>
  <c r="A867" i="2"/>
  <c r="I867" i="2"/>
  <c r="H867" i="2"/>
  <c r="G867" i="2"/>
  <c r="F867" i="2"/>
  <c r="D867" i="2"/>
  <c r="C867" i="2"/>
  <c r="B867" i="2"/>
  <c r="J866" i="1"/>
  <c r="J866" i="2"/>
  <c r="A866" i="1"/>
  <c r="A866" i="2"/>
  <c r="I866" i="2"/>
  <c r="H866" i="2"/>
  <c r="G866" i="2"/>
  <c r="F866" i="2"/>
  <c r="D866" i="2"/>
  <c r="C866" i="2"/>
  <c r="B866" i="2"/>
  <c r="J865" i="1"/>
  <c r="J865" i="2"/>
  <c r="A865" i="1"/>
  <c r="A865" i="2"/>
  <c r="I865" i="2"/>
  <c r="H865" i="2"/>
  <c r="G865" i="2"/>
  <c r="F865" i="2"/>
  <c r="D865" i="2"/>
  <c r="C865" i="2"/>
  <c r="B865" i="2"/>
  <c r="J864" i="1"/>
  <c r="J864" i="2"/>
  <c r="A864" i="1"/>
  <c r="A864" i="2"/>
  <c r="I864" i="2"/>
  <c r="H864" i="2"/>
  <c r="G864" i="2"/>
  <c r="F864" i="2"/>
  <c r="D864" i="2"/>
  <c r="C864" i="2"/>
  <c r="B864" i="2"/>
  <c r="J863" i="1"/>
  <c r="J863" i="2"/>
  <c r="A863" i="1"/>
  <c r="A863" i="2"/>
  <c r="I863" i="2"/>
  <c r="H863" i="2"/>
  <c r="G863" i="2"/>
  <c r="F863" i="2"/>
  <c r="D863" i="2"/>
  <c r="C863" i="2"/>
  <c r="B863" i="2"/>
  <c r="J862" i="1"/>
  <c r="J862" i="2"/>
  <c r="A862" i="1"/>
  <c r="A862" i="2"/>
  <c r="I862" i="2"/>
  <c r="H862" i="2"/>
  <c r="G862" i="2"/>
  <c r="F862" i="2"/>
  <c r="D862" i="2"/>
  <c r="C862" i="2"/>
  <c r="B862" i="2"/>
  <c r="J861" i="1"/>
  <c r="J861" i="2"/>
  <c r="A861" i="1"/>
  <c r="A861" i="2"/>
  <c r="I861" i="2"/>
  <c r="H861" i="2"/>
  <c r="G861" i="2"/>
  <c r="F861" i="2"/>
  <c r="D861" i="2"/>
  <c r="C861" i="2"/>
  <c r="B861" i="2"/>
  <c r="J860" i="1"/>
  <c r="J860" i="2"/>
  <c r="A860" i="1"/>
  <c r="A860" i="2"/>
  <c r="I860" i="2"/>
  <c r="H860" i="2"/>
  <c r="G860" i="2"/>
  <c r="F860" i="2"/>
  <c r="D860" i="2"/>
  <c r="C860" i="2"/>
  <c r="B860" i="2"/>
  <c r="J859" i="1"/>
  <c r="J859" i="2"/>
  <c r="A859" i="1"/>
  <c r="A859" i="2"/>
  <c r="I859" i="2"/>
  <c r="H859" i="2"/>
  <c r="G859" i="2"/>
  <c r="F859" i="2"/>
  <c r="D859" i="2"/>
  <c r="C859" i="2"/>
  <c r="B859" i="2"/>
  <c r="J858" i="1"/>
  <c r="J858" i="2"/>
  <c r="A858" i="1"/>
  <c r="A858" i="2"/>
  <c r="I858" i="2"/>
  <c r="H858" i="2"/>
  <c r="G858" i="2"/>
  <c r="F858" i="2"/>
  <c r="D858" i="2"/>
  <c r="C858" i="2"/>
  <c r="B858" i="2"/>
  <c r="J857" i="1"/>
  <c r="J857" i="2"/>
  <c r="A857" i="1"/>
  <c r="A857" i="2"/>
  <c r="I857" i="2"/>
  <c r="H857" i="2"/>
  <c r="G857" i="2"/>
  <c r="F857" i="2"/>
  <c r="D857" i="2"/>
  <c r="C857" i="2"/>
  <c r="B857" i="2"/>
  <c r="J856" i="1"/>
  <c r="J856" i="2"/>
  <c r="A856" i="1"/>
  <c r="A856" i="2"/>
  <c r="I856" i="2"/>
  <c r="H856" i="2"/>
  <c r="G856" i="2"/>
  <c r="F856" i="2"/>
  <c r="D856" i="2"/>
  <c r="C856" i="2"/>
  <c r="B856" i="2"/>
  <c r="J855" i="1"/>
  <c r="J855" i="2"/>
  <c r="A855" i="1"/>
  <c r="A855" i="2"/>
  <c r="I855" i="2"/>
  <c r="H855" i="2"/>
  <c r="G855" i="2"/>
  <c r="F855" i="2"/>
  <c r="D855" i="2"/>
  <c r="C855" i="2"/>
  <c r="B855" i="2"/>
  <c r="J854" i="1"/>
  <c r="J854" i="2"/>
  <c r="A854" i="1"/>
  <c r="A854" i="2"/>
  <c r="I854" i="2"/>
  <c r="H854" i="2"/>
  <c r="G854" i="2"/>
  <c r="F854" i="2"/>
  <c r="D854" i="2"/>
  <c r="C854" i="2"/>
  <c r="B854" i="2"/>
  <c r="J853" i="1"/>
  <c r="J853" i="2"/>
  <c r="A853" i="1"/>
  <c r="A853" i="2"/>
  <c r="I853" i="2"/>
  <c r="H853" i="2"/>
  <c r="G853" i="2"/>
  <c r="F853" i="2"/>
  <c r="D853" i="2"/>
  <c r="C853" i="2"/>
  <c r="B853" i="2"/>
  <c r="J852" i="1"/>
  <c r="J852" i="2"/>
  <c r="A852" i="1"/>
  <c r="A852" i="2"/>
  <c r="I852" i="2"/>
  <c r="H852" i="2"/>
  <c r="G852" i="2"/>
  <c r="F852" i="2"/>
  <c r="D852" i="2"/>
  <c r="C852" i="2"/>
  <c r="B852" i="2"/>
  <c r="J851" i="1"/>
  <c r="J851" i="2"/>
  <c r="A851" i="1"/>
  <c r="A851" i="2"/>
  <c r="I851" i="2"/>
  <c r="H851" i="2"/>
  <c r="G851" i="2"/>
  <c r="F851" i="2"/>
  <c r="D851" i="2"/>
  <c r="C851" i="2"/>
  <c r="B851" i="2"/>
  <c r="J850" i="1"/>
  <c r="J850" i="2"/>
  <c r="A850" i="1"/>
  <c r="A850" i="2"/>
  <c r="I850" i="2"/>
  <c r="H850" i="2"/>
  <c r="G850" i="2"/>
  <c r="F850" i="2"/>
  <c r="D850" i="2"/>
  <c r="C850" i="2"/>
  <c r="B850" i="2"/>
  <c r="J849" i="1"/>
  <c r="J849" i="2"/>
  <c r="A849" i="1"/>
  <c r="A849" i="2"/>
  <c r="I849" i="2"/>
  <c r="H849" i="2"/>
  <c r="G849" i="2"/>
  <c r="F849" i="2"/>
  <c r="D849" i="2"/>
  <c r="C849" i="2"/>
  <c r="B849" i="2"/>
  <c r="J848" i="1"/>
  <c r="J848" i="2"/>
  <c r="A848" i="1"/>
  <c r="A848" i="2"/>
  <c r="I848" i="2"/>
  <c r="H848" i="2"/>
  <c r="G848" i="2"/>
  <c r="F848" i="2"/>
  <c r="D848" i="2"/>
  <c r="C848" i="2"/>
  <c r="B848" i="2"/>
  <c r="J847" i="1"/>
  <c r="J847" i="2"/>
  <c r="A847" i="1"/>
  <c r="A847" i="2"/>
  <c r="I847" i="2"/>
  <c r="H847" i="2"/>
  <c r="G847" i="2"/>
  <c r="F847" i="2"/>
  <c r="D847" i="2"/>
  <c r="C847" i="2"/>
  <c r="B847" i="2"/>
  <c r="J846" i="1"/>
  <c r="J846" i="2"/>
  <c r="A846" i="1"/>
  <c r="A846" i="2"/>
  <c r="I846" i="2"/>
  <c r="H846" i="2"/>
  <c r="G846" i="2"/>
  <c r="F846" i="2"/>
  <c r="D846" i="2"/>
  <c r="C846" i="2"/>
  <c r="B846" i="2"/>
  <c r="J845" i="1"/>
  <c r="J845" i="2"/>
  <c r="A845" i="1"/>
  <c r="A845" i="2"/>
  <c r="I845" i="2"/>
  <c r="H845" i="2"/>
  <c r="G845" i="2"/>
  <c r="F845" i="2"/>
  <c r="D845" i="2"/>
  <c r="C845" i="2"/>
  <c r="B845" i="2"/>
  <c r="J844" i="1"/>
  <c r="J844" i="2"/>
  <c r="A844" i="1"/>
  <c r="A844" i="2"/>
  <c r="I844" i="2"/>
  <c r="H844" i="2"/>
  <c r="G844" i="2"/>
  <c r="F844" i="2"/>
  <c r="D844" i="2"/>
  <c r="C844" i="2"/>
  <c r="B844" i="2"/>
  <c r="J843" i="1"/>
  <c r="J843" i="2"/>
  <c r="A843" i="1"/>
  <c r="A843" i="2"/>
  <c r="I843" i="2"/>
  <c r="H843" i="2"/>
  <c r="G843" i="2"/>
  <c r="F843" i="2"/>
  <c r="D843" i="2"/>
  <c r="C843" i="2"/>
  <c r="B843" i="2"/>
  <c r="J842" i="1"/>
  <c r="J842" i="2"/>
  <c r="A842" i="1"/>
  <c r="A842" i="2"/>
  <c r="I842" i="2"/>
  <c r="H842" i="2"/>
  <c r="G842" i="2"/>
  <c r="F842" i="2"/>
  <c r="D842" i="2"/>
  <c r="C842" i="2"/>
  <c r="B842" i="2"/>
  <c r="J841" i="1"/>
  <c r="J841" i="2"/>
  <c r="A841" i="1"/>
  <c r="A841" i="2"/>
  <c r="I841" i="2"/>
  <c r="H841" i="2"/>
  <c r="G841" i="2"/>
  <c r="F841" i="2"/>
  <c r="D841" i="2"/>
  <c r="C841" i="2"/>
  <c r="B841" i="2"/>
  <c r="J840" i="1"/>
  <c r="J840" i="2"/>
  <c r="A840" i="1"/>
  <c r="A840" i="2"/>
  <c r="I840" i="2"/>
  <c r="H840" i="2"/>
  <c r="G840" i="2"/>
  <c r="F840" i="2"/>
  <c r="D840" i="2"/>
  <c r="C840" i="2"/>
  <c r="B840" i="2"/>
  <c r="J839" i="1"/>
  <c r="J839" i="2"/>
  <c r="A839" i="1"/>
  <c r="A839" i="2"/>
  <c r="I839" i="2"/>
  <c r="H839" i="2"/>
  <c r="G839" i="2"/>
  <c r="F839" i="2"/>
  <c r="D839" i="2"/>
  <c r="C839" i="2"/>
  <c r="B839" i="2"/>
  <c r="J838" i="1"/>
  <c r="J838" i="2"/>
  <c r="A838" i="1"/>
  <c r="A838" i="2"/>
  <c r="I838" i="2"/>
  <c r="H838" i="2"/>
  <c r="G838" i="2"/>
  <c r="F838" i="2"/>
  <c r="D838" i="2"/>
  <c r="C838" i="2"/>
  <c r="B838" i="2"/>
  <c r="J837" i="1"/>
  <c r="J837" i="2"/>
  <c r="A837" i="1"/>
  <c r="A837" i="2"/>
  <c r="I837" i="2"/>
  <c r="H837" i="2"/>
  <c r="G837" i="2"/>
  <c r="F837" i="2"/>
  <c r="D837" i="2"/>
  <c r="C837" i="2"/>
  <c r="B837" i="2"/>
  <c r="J836" i="1"/>
  <c r="J836" i="2"/>
  <c r="A836" i="1"/>
  <c r="A836" i="2"/>
  <c r="I836" i="2"/>
  <c r="H836" i="2"/>
  <c r="G836" i="2"/>
  <c r="F836" i="2"/>
  <c r="D836" i="2"/>
  <c r="C836" i="2"/>
  <c r="B836" i="2"/>
  <c r="J835" i="1"/>
  <c r="J835" i="2"/>
  <c r="A835" i="1"/>
  <c r="A835" i="2"/>
  <c r="I835" i="2"/>
  <c r="H835" i="2"/>
  <c r="G835" i="2"/>
  <c r="F835" i="2"/>
  <c r="D835" i="2"/>
  <c r="C835" i="2"/>
  <c r="B835" i="2"/>
  <c r="J834" i="1"/>
  <c r="J834" i="2"/>
  <c r="A834" i="1"/>
  <c r="A834" i="2"/>
  <c r="I834" i="2"/>
  <c r="H834" i="2"/>
  <c r="G834" i="2"/>
  <c r="F834" i="2"/>
  <c r="D834" i="2"/>
  <c r="C834" i="2"/>
  <c r="B834" i="2"/>
  <c r="J833" i="1"/>
  <c r="J833" i="2"/>
  <c r="A833" i="1"/>
  <c r="A833" i="2"/>
  <c r="I833" i="2"/>
  <c r="H833" i="2"/>
  <c r="G833" i="2"/>
  <c r="F833" i="2"/>
  <c r="D833" i="2"/>
  <c r="C833" i="2"/>
  <c r="B833" i="2"/>
  <c r="J832" i="1"/>
  <c r="J832" i="2"/>
  <c r="A832" i="1"/>
  <c r="A832" i="2"/>
  <c r="I832" i="2"/>
  <c r="H832" i="2"/>
  <c r="G832" i="2"/>
  <c r="F832" i="2"/>
  <c r="D832" i="2"/>
  <c r="C832" i="2"/>
  <c r="B832" i="2"/>
  <c r="J831" i="1"/>
  <c r="J831" i="2"/>
  <c r="A831" i="1"/>
  <c r="A831" i="2"/>
  <c r="I831" i="2"/>
  <c r="H831" i="2"/>
  <c r="G831" i="2"/>
  <c r="F831" i="2"/>
  <c r="D831" i="2"/>
  <c r="C831" i="2"/>
  <c r="B831" i="2"/>
  <c r="J830" i="1"/>
  <c r="J830" i="2"/>
  <c r="A830" i="1"/>
  <c r="A830" i="2"/>
  <c r="I830" i="2"/>
  <c r="H830" i="2"/>
  <c r="G830" i="2"/>
  <c r="F830" i="2"/>
  <c r="D830" i="2"/>
  <c r="C830" i="2"/>
  <c r="B830" i="2"/>
  <c r="J829" i="1"/>
  <c r="J829" i="2"/>
  <c r="A829" i="1"/>
  <c r="A829" i="2"/>
  <c r="I829" i="2"/>
  <c r="H829" i="2"/>
  <c r="G829" i="2"/>
  <c r="F829" i="2"/>
  <c r="D829" i="2"/>
  <c r="C829" i="2"/>
  <c r="B829" i="2"/>
  <c r="J828" i="1"/>
  <c r="J828" i="2"/>
  <c r="A828" i="1"/>
  <c r="A828" i="2"/>
  <c r="I828" i="2"/>
  <c r="H828" i="2"/>
  <c r="G828" i="2"/>
  <c r="F828" i="2"/>
  <c r="D828" i="2"/>
  <c r="C828" i="2"/>
  <c r="B828" i="2"/>
  <c r="J827" i="1"/>
  <c r="J827" i="2"/>
  <c r="A827" i="1"/>
  <c r="A827" i="2"/>
  <c r="I827" i="2"/>
  <c r="H827" i="2"/>
  <c r="G827" i="2"/>
  <c r="F827" i="2"/>
  <c r="D827" i="2"/>
  <c r="C827" i="2"/>
  <c r="B827" i="2"/>
  <c r="J826" i="1"/>
  <c r="J826" i="2"/>
  <c r="A826" i="1"/>
  <c r="A826" i="2"/>
  <c r="I826" i="2"/>
  <c r="H826" i="2"/>
  <c r="G826" i="2"/>
  <c r="F826" i="2"/>
  <c r="D826" i="2"/>
  <c r="C826" i="2"/>
  <c r="B826" i="2"/>
  <c r="J825" i="1"/>
  <c r="J825" i="2"/>
  <c r="A825" i="1"/>
  <c r="A825" i="2"/>
  <c r="I825" i="2"/>
  <c r="H825" i="2"/>
  <c r="G825" i="2"/>
  <c r="F825" i="2"/>
  <c r="D825" i="2"/>
  <c r="C825" i="2"/>
  <c r="B825" i="2"/>
  <c r="J824" i="1"/>
  <c r="J824" i="2"/>
  <c r="A824" i="1"/>
  <c r="A824" i="2"/>
  <c r="I824" i="2"/>
  <c r="H824" i="2"/>
  <c r="G824" i="2"/>
  <c r="F824" i="2"/>
  <c r="D824" i="2"/>
  <c r="C824" i="2"/>
  <c r="B824" i="2"/>
  <c r="J823" i="1"/>
  <c r="J823" i="2"/>
  <c r="A823" i="1"/>
  <c r="A823" i="2"/>
  <c r="I823" i="2"/>
  <c r="H823" i="2"/>
  <c r="G823" i="2"/>
  <c r="F823" i="2"/>
  <c r="D823" i="2"/>
  <c r="C823" i="2"/>
  <c r="B823" i="2"/>
  <c r="J822" i="1"/>
  <c r="J822" i="2"/>
  <c r="A822" i="1"/>
  <c r="A822" i="2"/>
  <c r="I822" i="2"/>
  <c r="H822" i="2"/>
  <c r="G822" i="2"/>
  <c r="F822" i="2"/>
  <c r="D822" i="2"/>
  <c r="C822" i="2"/>
  <c r="B822" i="2"/>
  <c r="J821" i="1"/>
  <c r="J821" i="2"/>
  <c r="A821" i="1"/>
  <c r="A821" i="2"/>
  <c r="I821" i="2"/>
  <c r="H821" i="2"/>
  <c r="G821" i="2"/>
  <c r="F821" i="2"/>
  <c r="D821" i="2"/>
  <c r="C821" i="2"/>
  <c r="B821" i="2"/>
  <c r="J820" i="1"/>
  <c r="J820" i="2"/>
  <c r="A820" i="1"/>
  <c r="A820" i="2"/>
  <c r="I820" i="2"/>
  <c r="H820" i="2"/>
  <c r="G820" i="2"/>
  <c r="F820" i="2"/>
  <c r="D820" i="2"/>
  <c r="C820" i="2"/>
  <c r="B820" i="2"/>
  <c r="J819" i="1"/>
  <c r="J819" i="2"/>
  <c r="A819" i="1"/>
  <c r="A819" i="2"/>
  <c r="I819" i="2"/>
  <c r="H819" i="2"/>
  <c r="G819" i="2"/>
  <c r="F819" i="2"/>
  <c r="D819" i="2"/>
  <c r="C819" i="2"/>
  <c r="B819" i="2"/>
  <c r="J818" i="1"/>
  <c r="J818" i="2"/>
  <c r="A818" i="1"/>
  <c r="A818" i="2"/>
  <c r="I818" i="2"/>
  <c r="H818" i="2"/>
  <c r="G818" i="2"/>
  <c r="F818" i="2"/>
  <c r="D818" i="2"/>
  <c r="C818" i="2"/>
  <c r="B818" i="2"/>
  <c r="J817" i="1"/>
  <c r="J817" i="2"/>
  <c r="A817" i="1"/>
  <c r="A817" i="2"/>
  <c r="I817" i="2"/>
  <c r="H817" i="2"/>
  <c r="G817" i="2"/>
  <c r="F817" i="2"/>
  <c r="D817" i="2"/>
  <c r="C817" i="2"/>
  <c r="B817" i="2"/>
  <c r="J816" i="1"/>
  <c r="J816" i="2"/>
  <c r="A816" i="1"/>
  <c r="A816" i="2"/>
  <c r="I816" i="2"/>
  <c r="H816" i="2"/>
  <c r="G816" i="2"/>
  <c r="F816" i="2"/>
  <c r="D816" i="2"/>
  <c r="C816" i="2"/>
  <c r="B816" i="2"/>
  <c r="J815" i="1"/>
  <c r="J815" i="2"/>
  <c r="A815" i="1"/>
  <c r="A815" i="2"/>
  <c r="I815" i="2"/>
  <c r="H815" i="2"/>
  <c r="G815" i="2"/>
  <c r="F815" i="2"/>
  <c r="D815" i="2"/>
  <c r="C815" i="2"/>
  <c r="B815" i="2"/>
  <c r="J814" i="1"/>
  <c r="J814" i="2"/>
  <c r="A814" i="1"/>
  <c r="A814" i="2"/>
  <c r="I814" i="2"/>
  <c r="H814" i="2"/>
  <c r="G814" i="2"/>
  <c r="F814" i="2"/>
  <c r="D814" i="2"/>
  <c r="C814" i="2"/>
  <c r="B814" i="2"/>
  <c r="J813" i="1"/>
  <c r="J813" i="2"/>
  <c r="A813" i="1"/>
  <c r="A813" i="2"/>
  <c r="I813" i="2"/>
  <c r="H813" i="2"/>
  <c r="G813" i="2"/>
  <c r="F813" i="2"/>
  <c r="D813" i="2"/>
  <c r="C813" i="2"/>
  <c r="B813" i="2"/>
  <c r="J812" i="1"/>
  <c r="J812" i="2"/>
  <c r="A812" i="1"/>
  <c r="A812" i="2"/>
  <c r="I812" i="2"/>
  <c r="H812" i="2"/>
  <c r="G812" i="2"/>
  <c r="F812" i="2"/>
  <c r="D812" i="2"/>
  <c r="C812" i="2"/>
  <c r="B812" i="2"/>
  <c r="J811" i="1"/>
  <c r="J811" i="2"/>
  <c r="A811" i="1"/>
  <c r="A811" i="2"/>
  <c r="I811" i="2"/>
  <c r="H811" i="2"/>
  <c r="G811" i="2"/>
  <c r="F811" i="2"/>
  <c r="D811" i="2"/>
  <c r="C811" i="2"/>
  <c r="B811" i="2"/>
  <c r="J810" i="1"/>
  <c r="J810" i="2"/>
  <c r="A810" i="1"/>
  <c r="A810" i="2"/>
  <c r="I810" i="2"/>
  <c r="H810" i="2"/>
  <c r="G810" i="2"/>
  <c r="F810" i="2"/>
  <c r="D810" i="2"/>
  <c r="C810" i="2"/>
  <c r="B810" i="2"/>
  <c r="J809" i="1"/>
  <c r="J809" i="2"/>
  <c r="A809" i="1"/>
  <c r="A809" i="2"/>
  <c r="I809" i="2"/>
  <c r="H809" i="2"/>
  <c r="G809" i="2"/>
  <c r="F809" i="2"/>
  <c r="D809" i="2"/>
  <c r="C809" i="2"/>
  <c r="B809" i="2"/>
  <c r="J808" i="1"/>
  <c r="J808" i="2"/>
  <c r="A808" i="1"/>
  <c r="A808" i="2"/>
  <c r="I808" i="2"/>
  <c r="H808" i="2"/>
  <c r="G808" i="2"/>
  <c r="F808" i="2"/>
  <c r="D808" i="2"/>
  <c r="C808" i="2"/>
  <c r="B808" i="2"/>
  <c r="J807" i="1"/>
  <c r="J807" i="2"/>
  <c r="A807" i="1"/>
  <c r="A807" i="2"/>
  <c r="I807" i="2"/>
  <c r="H807" i="2"/>
  <c r="G807" i="2"/>
  <c r="F807" i="2"/>
  <c r="D807" i="2"/>
  <c r="C807" i="2"/>
  <c r="B807" i="2"/>
  <c r="J806" i="1"/>
  <c r="J806" i="2"/>
  <c r="A806" i="1"/>
  <c r="A806" i="2"/>
  <c r="I806" i="2"/>
  <c r="H806" i="2"/>
  <c r="G806" i="2"/>
  <c r="F806" i="2"/>
  <c r="D806" i="2"/>
  <c r="C806" i="2"/>
  <c r="B806" i="2"/>
  <c r="J805" i="1"/>
  <c r="J805" i="2"/>
  <c r="A805" i="1"/>
  <c r="A805" i="2"/>
  <c r="I805" i="2"/>
  <c r="H805" i="2"/>
  <c r="G805" i="2"/>
  <c r="F805" i="2"/>
  <c r="D805" i="2"/>
  <c r="C805" i="2"/>
  <c r="B805" i="2"/>
  <c r="J804" i="1"/>
  <c r="J804" i="2"/>
  <c r="A804" i="1"/>
  <c r="A804" i="2"/>
  <c r="I804" i="2"/>
  <c r="H804" i="2"/>
  <c r="G804" i="2"/>
  <c r="F804" i="2"/>
  <c r="D804" i="2"/>
  <c r="C804" i="2"/>
  <c r="B804" i="2"/>
  <c r="J803" i="1"/>
  <c r="J803" i="2"/>
  <c r="A803" i="1"/>
  <c r="A803" i="2"/>
  <c r="I803" i="2"/>
  <c r="H803" i="2"/>
  <c r="G803" i="2"/>
  <c r="F803" i="2"/>
  <c r="D803" i="2"/>
  <c r="C803" i="2"/>
  <c r="B803" i="2"/>
  <c r="J802" i="1"/>
  <c r="J802" i="2"/>
  <c r="A802" i="1"/>
  <c r="A802" i="2"/>
  <c r="I802" i="2"/>
  <c r="H802" i="2"/>
  <c r="G802" i="2"/>
  <c r="F802" i="2"/>
  <c r="D802" i="2"/>
  <c r="C802" i="2"/>
  <c r="B802" i="2"/>
  <c r="J801" i="1"/>
  <c r="J801" i="2"/>
  <c r="A801" i="1"/>
  <c r="A801" i="2"/>
  <c r="I801" i="2"/>
  <c r="H801" i="2"/>
  <c r="G801" i="2"/>
  <c r="F801" i="2"/>
  <c r="D801" i="2"/>
  <c r="C801" i="2"/>
  <c r="B801" i="2"/>
  <c r="J800" i="1"/>
  <c r="J800" i="2"/>
  <c r="A800" i="1"/>
  <c r="A800" i="2"/>
  <c r="I800" i="2"/>
  <c r="H800" i="2"/>
  <c r="G800" i="2"/>
  <c r="F800" i="2"/>
  <c r="D800" i="2"/>
  <c r="C800" i="2"/>
  <c r="B800" i="2"/>
  <c r="J799" i="1"/>
  <c r="J799" i="2"/>
  <c r="A799" i="1"/>
  <c r="A799" i="2"/>
  <c r="I799" i="2"/>
  <c r="H799" i="2"/>
  <c r="G799" i="2"/>
  <c r="F799" i="2"/>
  <c r="D799" i="2"/>
  <c r="C799" i="2"/>
  <c r="B799" i="2"/>
  <c r="J798" i="1"/>
  <c r="J798" i="2"/>
  <c r="A798" i="1"/>
  <c r="A798" i="2"/>
  <c r="I798" i="2"/>
  <c r="H798" i="2"/>
  <c r="G798" i="2"/>
  <c r="F798" i="2"/>
  <c r="D798" i="2"/>
  <c r="C798" i="2"/>
  <c r="B798" i="2"/>
  <c r="J797" i="1"/>
  <c r="J797" i="2"/>
  <c r="A797" i="1"/>
  <c r="A797" i="2"/>
  <c r="I797" i="2"/>
  <c r="H797" i="2"/>
  <c r="G797" i="2"/>
  <c r="F797" i="2"/>
  <c r="D797" i="2"/>
  <c r="C797" i="2"/>
  <c r="B797" i="2"/>
  <c r="J796" i="1"/>
  <c r="J796" i="2"/>
  <c r="A796" i="1"/>
  <c r="A796" i="2"/>
  <c r="I796" i="2"/>
  <c r="H796" i="2"/>
  <c r="G796" i="2"/>
  <c r="F796" i="2"/>
  <c r="D796" i="2"/>
  <c r="C796" i="2"/>
  <c r="B796" i="2"/>
  <c r="J795" i="1"/>
  <c r="J795" i="2"/>
  <c r="A795" i="1"/>
  <c r="A795" i="2"/>
  <c r="I795" i="2"/>
  <c r="H795" i="2"/>
  <c r="G795" i="2"/>
  <c r="F795" i="2"/>
  <c r="D795" i="2"/>
  <c r="C795" i="2"/>
  <c r="B795" i="2"/>
  <c r="J794" i="1"/>
  <c r="J794" i="2"/>
  <c r="A794" i="1"/>
  <c r="A794" i="2"/>
  <c r="I794" i="2"/>
  <c r="H794" i="2"/>
  <c r="G794" i="2"/>
  <c r="F794" i="2"/>
  <c r="D794" i="2"/>
  <c r="C794" i="2"/>
  <c r="B794" i="2"/>
  <c r="J793" i="1"/>
  <c r="J793" i="2"/>
  <c r="A793" i="1"/>
  <c r="A793" i="2"/>
  <c r="I793" i="2"/>
  <c r="H793" i="2"/>
  <c r="G793" i="2"/>
  <c r="F793" i="2"/>
  <c r="D793" i="2"/>
  <c r="C793" i="2"/>
  <c r="B793" i="2"/>
  <c r="J792" i="1"/>
  <c r="J792" i="2"/>
  <c r="A792" i="1"/>
  <c r="A792" i="2"/>
  <c r="I792" i="2"/>
  <c r="H792" i="2"/>
  <c r="G792" i="2"/>
  <c r="F792" i="2"/>
  <c r="D792" i="2"/>
  <c r="C792" i="2"/>
  <c r="B792" i="2"/>
  <c r="J791" i="1"/>
  <c r="J791" i="2"/>
  <c r="A791" i="1"/>
  <c r="A791" i="2"/>
  <c r="I791" i="2"/>
  <c r="H791" i="2"/>
  <c r="G791" i="2"/>
  <c r="F791" i="2"/>
  <c r="D791" i="2"/>
  <c r="C791" i="2"/>
  <c r="B791" i="2"/>
  <c r="J790" i="1"/>
  <c r="J790" i="2"/>
  <c r="A790" i="1"/>
  <c r="A790" i="2"/>
  <c r="I790" i="2"/>
  <c r="H790" i="2"/>
  <c r="G790" i="2"/>
  <c r="F790" i="2"/>
  <c r="D790" i="2"/>
  <c r="C790" i="2"/>
  <c r="B790" i="2"/>
  <c r="J789" i="1"/>
  <c r="J789" i="2"/>
  <c r="A789" i="1"/>
  <c r="A789" i="2"/>
  <c r="I789" i="2"/>
  <c r="H789" i="2"/>
  <c r="G789" i="2"/>
  <c r="F789" i="2"/>
  <c r="D789" i="2"/>
  <c r="C789" i="2"/>
  <c r="B789" i="2"/>
  <c r="J788" i="1"/>
  <c r="J788" i="2"/>
  <c r="A788" i="1"/>
  <c r="A788" i="2"/>
  <c r="I788" i="2"/>
  <c r="H788" i="2"/>
  <c r="G788" i="2"/>
  <c r="F788" i="2"/>
  <c r="D788" i="2"/>
  <c r="C788" i="2"/>
  <c r="B788" i="2"/>
  <c r="J787" i="1"/>
  <c r="J787" i="2"/>
  <c r="A787" i="1"/>
  <c r="A787" i="2"/>
  <c r="I787" i="2"/>
  <c r="H787" i="2"/>
  <c r="G787" i="2"/>
  <c r="F787" i="2"/>
  <c r="D787" i="2"/>
  <c r="C787" i="2"/>
  <c r="B787" i="2"/>
  <c r="J786" i="1"/>
  <c r="J786" i="2"/>
  <c r="A786" i="1"/>
  <c r="A786" i="2"/>
  <c r="I786" i="2"/>
  <c r="H786" i="2"/>
  <c r="G786" i="2"/>
  <c r="F786" i="2"/>
  <c r="D786" i="2"/>
  <c r="C786" i="2"/>
  <c r="B786" i="2"/>
  <c r="J785" i="1"/>
  <c r="J785" i="2"/>
  <c r="A785" i="1"/>
  <c r="A785" i="2"/>
  <c r="I785" i="2"/>
  <c r="H785" i="2"/>
  <c r="G785" i="2"/>
  <c r="F785" i="2"/>
  <c r="D785" i="2"/>
  <c r="C785" i="2"/>
  <c r="B785" i="2"/>
  <c r="J784" i="1"/>
  <c r="J784" i="2"/>
  <c r="A784" i="1"/>
  <c r="A784" i="2"/>
  <c r="I784" i="2"/>
  <c r="H784" i="2"/>
  <c r="G784" i="2"/>
  <c r="F784" i="2"/>
  <c r="D784" i="2"/>
  <c r="C784" i="2"/>
  <c r="B784" i="2"/>
  <c r="J783" i="1"/>
  <c r="J783" i="2"/>
  <c r="A783" i="1"/>
  <c r="A783" i="2"/>
  <c r="I783" i="2"/>
  <c r="H783" i="2"/>
  <c r="G783" i="2"/>
  <c r="F783" i="2"/>
  <c r="D783" i="2"/>
  <c r="C783" i="2"/>
  <c r="B783" i="2"/>
  <c r="J782" i="1"/>
  <c r="J782" i="2"/>
  <c r="A782" i="1"/>
  <c r="A782" i="2"/>
  <c r="I782" i="2"/>
  <c r="H782" i="2"/>
  <c r="G782" i="2"/>
  <c r="F782" i="2"/>
  <c r="D782" i="2"/>
  <c r="C782" i="2"/>
  <c r="B782" i="2"/>
  <c r="J781" i="1"/>
  <c r="J781" i="2"/>
  <c r="A781" i="1"/>
  <c r="A781" i="2"/>
  <c r="I781" i="2"/>
  <c r="H781" i="2"/>
  <c r="G781" i="2"/>
  <c r="F781" i="2"/>
  <c r="D781" i="2"/>
  <c r="C781" i="2"/>
  <c r="B781" i="2"/>
  <c r="J780" i="1"/>
  <c r="J780" i="2"/>
  <c r="A780" i="1"/>
  <c r="A780" i="2"/>
  <c r="I780" i="2"/>
  <c r="H780" i="2"/>
  <c r="G780" i="2"/>
  <c r="F780" i="2"/>
  <c r="D780" i="2"/>
  <c r="C780" i="2"/>
  <c r="B780" i="2"/>
  <c r="J779" i="1"/>
  <c r="J779" i="2"/>
  <c r="A779" i="1"/>
  <c r="A779" i="2"/>
  <c r="I779" i="2"/>
  <c r="H779" i="2"/>
  <c r="G779" i="2"/>
  <c r="F779" i="2"/>
  <c r="D779" i="2"/>
  <c r="C779" i="2"/>
  <c r="B779" i="2"/>
  <c r="J778" i="1"/>
  <c r="J778" i="2"/>
  <c r="A778" i="1"/>
  <c r="A778" i="2"/>
  <c r="I778" i="2"/>
  <c r="H778" i="2"/>
  <c r="G778" i="2"/>
  <c r="F778" i="2"/>
  <c r="D778" i="2"/>
  <c r="C778" i="2"/>
  <c r="B778" i="2"/>
  <c r="J777" i="1"/>
  <c r="J777" i="2"/>
  <c r="A777" i="1"/>
  <c r="A777" i="2"/>
  <c r="I777" i="2"/>
  <c r="H777" i="2"/>
  <c r="G777" i="2"/>
  <c r="F777" i="2"/>
  <c r="D777" i="2"/>
  <c r="C777" i="2"/>
  <c r="B777" i="2"/>
  <c r="J776" i="1"/>
  <c r="J776" i="2"/>
  <c r="A776" i="1"/>
  <c r="A776" i="2"/>
  <c r="I776" i="2"/>
  <c r="H776" i="2"/>
  <c r="G776" i="2"/>
  <c r="F776" i="2"/>
  <c r="D776" i="2"/>
  <c r="C776" i="2"/>
  <c r="B776" i="2"/>
  <c r="J775" i="1"/>
  <c r="J775" i="2"/>
  <c r="A775" i="1"/>
  <c r="A775" i="2"/>
  <c r="I775" i="2"/>
  <c r="H775" i="2"/>
  <c r="G775" i="2"/>
  <c r="F775" i="2"/>
  <c r="D775" i="2"/>
  <c r="C775" i="2"/>
  <c r="B775" i="2"/>
  <c r="J774" i="1"/>
  <c r="J774" i="2"/>
  <c r="A774" i="1"/>
  <c r="A774" i="2"/>
  <c r="I774" i="2"/>
  <c r="H774" i="2"/>
  <c r="G774" i="2"/>
  <c r="F774" i="2"/>
  <c r="D774" i="2"/>
  <c r="C774" i="2"/>
  <c r="B774" i="2"/>
  <c r="J773" i="1"/>
  <c r="J773" i="2"/>
  <c r="A773" i="1"/>
  <c r="A773" i="2"/>
  <c r="I773" i="2"/>
  <c r="H773" i="2"/>
  <c r="G773" i="2"/>
  <c r="F773" i="2"/>
  <c r="D773" i="2"/>
  <c r="C773" i="2"/>
  <c r="B773" i="2"/>
  <c r="J772" i="1"/>
  <c r="J772" i="2"/>
  <c r="A772" i="1"/>
  <c r="A772" i="2"/>
  <c r="I772" i="2"/>
  <c r="H772" i="2"/>
  <c r="G772" i="2"/>
  <c r="F772" i="2"/>
  <c r="D772" i="2"/>
  <c r="C772" i="2"/>
  <c r="B772" i="2"/>
  <c r="J771" i="1"/>
  <c r="J771" i="2"/>
  <c r="A771" i="1"/>
  <c r="A771" i="2"/>
  <c r="I771" i="2"/>
  <c r="H771" i="2"/>
  <c r="G771" i="2"/>
  <c r="F771" i="2"/>
  <c r="D771" i="2"/>
  <c r="C771" i="2"/>
  <c r="B771" i="2"/>
  <c r="J770" i="1"/>
  <c r="J770" i="2"/>
  <c r="A770" i="1"/>
  <c r="A770" i="2"/>
  <c r="I770" i="2"/>
  <c r="H770" i="2"/>
  <c r="G770" i="2"/>
  <c r="F770" i="2"/>
  <c r="D770" i="2"/>
  <c r="C770" i="2"/>
  <c r="B770" i="2"/>
  <c r="J769" i="1"/>
  <c r="J769" i="2"/>
  <c r="A769" i="1"/>
  <c r="A769" i="2"/>
  <c r="I769" i="2"/>
  <c r="H769" i="2"/>
  <c r="G769" i="2"/>
  <c r="F769" i="2"/>
  <c r="D769" i="2"/>
  <c r="C769" i="2"/>
  <c r="B769" i="2"/>
  <c r="J768" i="1"/>
  <c r="J768" i="2"/>
  <c r="A768" i="1"/>
  <c r="A768" i="2"/>
  <c r="I768" i="2"/>
  <c r="H768" i="2"/>
  <c r="G768" i="2"/>
  <c r="F768" i="2"/>
  <c r="D768" i="2"/>
  <c r="C768" i="2"/>
  <c r="B768" i="2"/>
  <c r="J767" i="1"/>
  <c r="J767" i="2"/>
  <c r="A767" i="1"/>
  <c r="A767" i="2"/>
  <c r="I767" i="2"/>
  <c r="H767" i="2"/>
  <c r="G767" i="2"/>
  <c r="F767" i="2"/>
  <c r="D767" i="2"/>
  <c r="C767" i="2"/>
  <c r="B767" i="2"/>
  <c r="J766" i="1"/>
  <c r="J766" i="2"/>
  <c r="A766" i="1"/>
  <c r="A766" i="2"/>
  <c r="I766" i="2"/>
  <c r="H766" i="2"/>
  <c r="G766" i="2"/>
  <c r="F766" i="2"/>
  <c r="D766" i="2"/>
  <c r="C766" i="2"/>
  <c r="B766" i="2"/>
  <c r="J765" i="1"/>
  <c r="J765" i="2"/>
  <c r="A765" i="1"/>
  <c r="A765" i="2"/>
  <c r="I765" i="2"/>
  <c r="H765" i="2"/>
  <c r="G765" i="2"/>
  <c r="F765" i="2"/>
  <c r="D765" i="2"/>
  <c r="C765" i="2"/>
  <c r="B765" i="2"/>
  <c r="J764" i="1"/>
  <c r="J764" i="2"/>
  <c r="A764" i="1"/>
  <c r="A764" i="2"/>
  <c r="I764" i="2"/>
  <c r="H764" i="2"/>
  <c r="G764" i="2"/>
  <c r="F764" i="2"/>
  <c r="D764" i="2"/>
  <c r="C764" i="2"/>
  <c r="B764" i="2"/>
  <c r="J763" i="1"/>
  <c r="J763" i="2"/>
  <c r="A763" i="1"/>
  <c r="A763" i="2"/>
  <c r="I763" i="2"/>
  <c r="H763" i="2"/>
  <c r="G763" i="2"/>
  <c r="F763" i="2"/>
  <c r="D763" i="2"/>
  <c r="C763" i="2"/>
  <c r="B763" i="2"/>
  <c r="J762" i="1"/>
  <c r="J762" i="2"/>
  <c r="A762" i="1"/>
  <c r="A762" i="2"/>
  <c r="I762" i="2"/>
  <c r="H762" i="2"/>
  <c r="G762" i="2"/>
  <c r="F762" i="2"/>
  <c r="D762" i="2"/>
  <c r="C762" i="2"/>
  <c r="B762" i="2"/>
  <c r="J761" i="1"/>
  <c r="J761" i="2"/>
  <c r="A761" i="1"/>
  <c r="A761" i="2"/>
  <c r="I761" i="2"/>
  <c r="H761" i="2"/>
  <c r="G761" i="2"/>
  <c r="F761" i="2"/>
  <c r="D761" i="2"/>
  <c r="C761" i="2"/>
  <c r="B761" i="2"/>
  <c r="J760" i="1"/>
  <c r="J760" i="2"/>
  <c r="A760" i="1"/>
  <c r="A760" i="2"/>
  <c r="I760" i="2"/>
  <c r="H760" i="2"/>
  <c r="G760" i="2"/>
  <c r="F760" i="2"/>
  <c r="D760" i="2"/>
  <c r="C760" i="2"/>
  <c r="B760" i="2"/>
  <c r="J759" i="1"/>
  <c r="J759" i="2"/>
  <c r="A759" i="1"/>
  <c r="A759" i="2"/>
  <c r="I759" i="2"/>
  <c r="H759" i="2"/>
  <c r="G759" i="2"/>
  <c r="F759" i="2"/>
  <c r="D759" i="2"/>
  <c r="C759" i="2"/>
  <c r="B759" i="2"/>
  <c r="J758" i="1"/>
  <c r="J758" i="2"/>
  <c r="A758" i="1"/>
  <c r="A758" i="2"/>
  <c r="I758" i="2"/>
  <c r="H758" i="2"/>
  <c r="G758" i="2"/>
  <c r="F758" i="2"/>
  <c r="D758" i="2"/>
  <c r="C758" i="2"/>
  <c r="B758" i="2"/>
  <c r="J757" i="1"/>
  <c r="J757" i="2"/>
  <c r="A757" i="1"/>
  <c r="A757" i="2"/>
  <c r="I757" i="2"/>
  <c r="H757" i="2"/>
  <c r="G757" i="2"/>
  <c r="F757" i="2"/>
  <c r="D757" i="2"/>
  <c r="C757" i="2"/>
  <c r="B757" i="2"/>
  <c r="J756" i="1"/>
  <c r="J756" i="2"/>
  <c r="A756" i="1"/>
  <c r="A756" i="2"/>
  <c r="I756" i="2"/>
  <c r="H756" i="2"/>
  <c r="G756" i="2"/>
  <c r="F756" i="2"/>
  <c r="D756" i="2"/>
  <c r="C756" i="2"/>
  <c r="B756" i="2"/>
  <c r="J755" i="1"/>
  <c r="J755" i="2"/>
  <c r="A755" i="1"/>
  <c r="A755" i="2"/>
  <c r="I755" i="2"/>
  <c r="H755" i="2"/>
  <c r="G755" i="2"/>
  <c r="F755" i="2"/>
  <c r="D755" i="2"/>
  <c r="C755" i="2"/>
  <c r="B755" i="2"/>
  <c r="J754" i="1"/>
  <c r="J754" i="2"/>
  <c r="A754" i="1"/>
  <c r="A754" i="2"/>
  <c r="I754" i="2"/>
  <c r="H754" i="2"/>
  <c r="G754" i="2"/>
  <c r="F754" i="2"/>
  <c r="D754" i="2"/>
  <c r="C754" i="2"/>
  <c r="B754" i="2"/>
  <c r="J753" i="1"/>
  <c r="J753" i="2"/>
  <c r="A753" i="1"/>
  <c r="A753" i="2"/>
  <c r="I753" i="2"/>
  <c r="H753" i="2"/>
  <c r="G753" i="2"/>
  <c r="F753" i="2"/>
  <c r="D753" i="2"/>
  <c r="C753" i="2"/>
  <c r="B753" i="2"/>
  <c r="J752" i="1"/>
  <c r="J752" i="2"/>
  <c r="A752" i="1"/>
  <c r="A752" i="2"/>
  <c r="I752" i="2"/>
  <c r="H752" i="2"/>
  <c r="G752" i="2"/>
  <c r="F752" i="2"/>
  <c r="D752" i="2"/>
  <c r="C752" i="2"/>
  <c r="B752" i="2"/>
  <c r="J751" i="1"/>
  <c r="J751" i="2"/>
  <c r="A751" i="1"/>
  <c r="A751" i="2"/>
  <c r="I751" i="2"/>
  <c r="H751" i="2"/>
  <c r="G751" i="2"/>
  <c r="F751" i="2"/>
  <c r="D751" i="2"/>
  <c r="C751" i="2"/>
  <c r="B751" i="2"/>
  <c r="J750" i="1"/>
  <c r="J750" i="2"/>
  <c r="A750" i="1"/>
  <c r="A750" i="2"/>
  <c r="I750" i="2"/>
  <c r="H750" i="2"/>
  <c r="G750" i="2"/>
  <c r="F750" i="2"/>
  <c r="D750" i="2"/>
  <c r="C750" i="2"/>
  <c r="B750" i="2"/>
  <c r="J749" i="1"/>
  <c r="J749" i="2"/>
  <c r="A749" i="1"/>
  <c r="A749" i="2"/>
  <c r="I749" i="2"/>
  <c r="H749" i="2"/>
  <c r="G749" i="2"/>
  <c r="F749" i="2"/>
  <c r="D749" i="2"/>
  <c r="C749" i="2"/>
  <c r="B749" i="2"/>
  <c r="J748" i="1"/>
  <c r="J748" i="2"/>
  <c r="A748" i="1"/>
  <c r="A748" i="2"/>
  <c r="I748" i="2"/>
  <c r="H748" i="2"/>
  <c r="G748" i="2"/>
  <c r="F748" i="2"/>
  <c r="D748" i="2"/>
  <c r="C748" i="2"/>
  <c r="B748" i="2"/>
  <c r="J747" i="1"/>
  <c r="J747" i="2"/>
  <c r="A747" i="1"/>
  <c r="A747" i="2"/>
  <c r="I747" i="2"/>
  <c r="H747" i="2"/>
  <c r="G747" i="2"/>
  <c r="F747" i="2"/>
  <c r="D747" i="2"/>
  <c r="C747" i="2"/>
  <c r="B747" i="2"/>
  <c r="J746" i="1"/>
  <c r="J746" i="2"/>
  <c r="A746" i="1"/>
  <c r="A746" i="2"/>
  <c r="I746" i="2"/>
  <c r="H746" i="2"/>
  <c r="G746" i="2"/>
  <c r="F746" i="2"/>
  <c r="D746" i="2"/>
  <c r="C746" i="2"/>
  <c r="B746" i="2"/>
  <c r="J745" i="1"/>
  <c r="J745" i="2"/>
  <c r="A745" i="1"/>
  <c r="A745" i="2"/>
  <c r="I745" i="2"/>
  <c r="H745" i="2"/>
  <c r="G745" i="2"/>
  <c r="F745" i="2"/>
  <c r="D745" i="2"/>
  <c r="C745" i="2"/>
  <c r="B745" i="2"/>
  <c r="J744" i="1"/>
  <c r="J744" i="2"/>
  <c r="A744" i="1"/>
  <c r="A744" i="2"/>
  <c r="I744" i="2"/>
  <c r="H744" i="2"/>
  <c r="G744" i="2"/>
  <c r="F744" i="2"/>
  <c r="D744" i="2"/>
  <c r="C744" i="2"/>
  <c r="B744" i="2"/>
  <c r="J743" i="1"/>
  <c r="J743" i="2"/>
  <c r="A743" i="1"/>
  <c r="A743" i="2"/>
  <c r="I743" i="2"/>
  <c r="H743" i="2"/>
  <c r="G743" i="2"/>
  <c r="F743" i="2"/>
  <c r="D743" i="2"/>
  <c r="C743" i="2"/>
  <c r="B743" i="2"/>
  <c r="J742" i="1"/>
  <c r="J742" i="2"/>
  <c r="A742" i="1"/>
  <c r="A742" i="2"/>
  <c r="I742" i="2"/>
  <c r="H742" i="2"/>
  <c r="G742" i="2"/>
  <c r="F742" i="2"/>
  <c r="D742" i="2"/>
  <c r="C742" i="2"/>
  <c r="B742" i="2"/>
  <c r="J741" i="1"/>
  <c r="J741" i="2"/>
  <c r="A741" i="1"/>
  <c r="A741" i="2"/>
  <c r="I741" i="2"/>
  <c r="H741" i="2"/>
  <c r="G741" i="2"/>
  <c r="F741" i="2"/>
  <c r="D741" i="2"/>
  <c r="C741" i="2"/>
  <c r="B741" i="2"/>
  <c r="J740" i="1"/>
  <c r="J740" i="2"/>
  <c r="A740" i="1"/>
  <c r="A740" i="2"/>
  <c r="I740" i="2"/>
  <c r="H740" i="2"/>
  <c r="G740" i="2"/>
  <c r="F740" i="2"/>
  <c r="D740" i="2"/>
  <c r="C740" i="2"/>
  <c r="B740" i="2"/>
  <c r="J739" i="1"/>
  <c r="J739" i="2"/>
  <c r="A739" i="1"/>
  <c r="A739" i="2"/>
  <c r="I739" i="2"/>
  <c r="H739" i="2"/>
  <c r="G739" i="2"/>
  <c r="F739" i="2"/>
  <c r="D739" i="2"/>
  <c r="C739" i="2"/>
  <c r="B739" i="2"/>
  <c r="J738" i="1"/>
  <c r="J738" i="2"/>
  <c r="A738" i="1"/>
  <c r="A738" i="2"/>
  <c r="I738" i="2"/>
  <c r="H738" i="2"/>
  <c r="G738" i="2"/>
  <c r="F738" i="2"/>
  <c r="D738" i="2"/>
  <c r="C738" i="2"/>
  <c r="B738" i="2"/>
  <c r="J737" i="1"/>
  <c r="J737" i="2"/>
  <c r="A737" i="1"/>
  <c r="A737" i="2"/>
  <c r="I737" i="2"/>
  <c r="H737" i="2"/>
  <c r="G737" i="2"/>
  <c r="F737" i="2"/>
  <c r="D737" i="2"/>
  <c r="C737" i="2"/>
  <c r="B737" i="2"/>
  <c r="J736" i="1"/>
  <c r="J736" i="2"/>
  <c r="A736" i="1"/>
  <c r="A736" i="2"/>
  <c r="I736" i="2"/>
  <c r="H736" i="2"/>
  <c r="G736" i="2"/>
  <c r="F736" i="2"/>
  <c r="D736" i="2"/>
  <c r="C736" i="2"/>
  <c r="B736" i="2"/>
  <c r="J735" i="1"/>
  <c r="J735" i="2"/>
  <c r="A735" i="1"/>
  <c r="A735" i="2"/>
  <c r="I735" i="2"/>
  <c r="H735" i="2"/>
  <c r="G735" i="2"/>
  <c r="F735" i="2"/>
  <c r="D735" i="2"/>
  <c r="C735" i="2"/>
  <c r="B735" i="2"/>
  <c r="J734" i="1"/>
  <c r="J734" i="2"/>
  <c r="A734" i="1"/>
  <c r="A734" i="2"/>
  <c r="I734" i="2"/>
  <c r="H734" i="2"/>
  <c r="G734" i="2"/>
  <c r="F734" i="2"/>
  <c r="D734" i="2"/>
  <c r="C734" i="2"/>
  <c r="B734" i="2"/>
  <c r="J733" i="1"/>
  <c r="J733" i="2"/>
  <c r="A733" i="1"/>
  <c r="A733" i="2"/>
  <c r="I733" i="2"/>
  <c r="H733" i="2"/>
  <c r="G733" i="2"/>
  <c r="F733" i="2"/>
  <c r="D733" i="2"/>
  <c r="C733" i="2"/>
  <c r="B733" i="2"/>
  <c r="J732" i="1"/>
  <c r="J732" i="2"/>
  <c r="A732" i="1"/>
  <c r="A732" i="2"/>
  <c r="I732" i="2"/>
  <c r="H732" i="2"/>
  <c r="G732" i="2"/>
  <c r="F732" i="2"/>
  <c r="D732" i="2"/>
  <c r="C732" i="2"/>
  <c r="B732" i="2"/>
  <c r="J731" i="1"/>
  <c r="J731" i="2"/>
  <c r="A731" i="1"/>
  <c r="A731" i="2"/>
  <c r="I731" i="2"/>
  <c r="H731" i="2"/>
  <c r="G731" i="2"/>
  <c r="F731" i="2"/>
  <c r="D731" i="2"/>
  <c r="C731" i="2"/>
  <c r="B731" i="2"/>
  <c r="J730" i="1"/>
  <c r="J730" i="2"/>
  <c r="A730" i="1"/>
  <c r="A730" i="2"/>
  <c r="I730" i="2"/>
  <c r="H730" i="2"/>
  <c r="G730" i="2"/>
  <c r="F730" i="2"/>
  <c r="D730" i="2"/>
  <c r="C730" i="2"/>
  <c r="B730" i="2"/>
  <c r="J729" i="1"/>
  <c r="J729" i="2"/>
  <c r="A729" i="1"/>
  <c r="A729" i="2"/>
  <c r="I729" i="2"/>
  <c r="H729" i="2"/>
  <c r="G729" i="2"/>
  <c r="F729" i="2"/>
  <c r="D729" i="2"/>
  <c r="C729" i="2"/>
  <c r="B729" i="2"/>
  <c r="J728" i="1"/>
  <c r="J728" i="2"/>
  <c r="A728" i="1"/>
  <c r="A728" i="2"/>
  <c r="I728" i="2"/>
  <c r="H728" i="2"/>
  <c r="G728" i="2"/>
  <c r="F728" i="2"/>
  <c r="D728" i="2"/>
  <c r="C728" i="2"/>
  <c r="B728" i="2"/>
  <c r="J727" i="1"/>
  <c r="J727" i="2"/>
  <c r="A727" i="1"/>
  <c r="A727" i="2"/>
  <c r="I727" i="2"/>
  <c r="H727" i="2"/>
  <c r="G727" i="2"/>
  <c r="F727" i="2"/>
  <c r="D727" i="2"/>
  <c r="C727" i="2"/>
  <c r="B727" i="2"/>
  <c r="J726" i="1"/>
  <c r="J726" i="2"/>
  <c r="A726" i="1"/>
  <c r="A726" i="2"/>
  <c r="I726" i="2"/>
  <c r="H726" i="2"/>
  <c r="G726" i="2"/>
  <c r="F726" i="2"/>
  <c r="D726" i="2"/>
  <c r="C726" i="2"/>
  <c r="B726" i="2"/>
  <c r="J725" i="1"/>
  <c r="J725" i="2"/>
  <c r="A725" i="1"/>
  <c r="A725" i="2"/>
  <c r="I725" i="2"/>
  <c r="H725" i="2"/>
  <c r="G725" i="2"/>
  <c r="F725" i="2"/>
  <c r="D725" i="2"/>
  <c r="C725" i="2"/>
  <c r="B725" i="2"/>
  <c r="J724" i="1"/>
  <c r="J724" i="2"/>
  <c r="A724" i="1"/>
  <c r="A724" i="2"/>
  <c r="I724" i="2"/>
  <c r="H724" i="2"/>
  <c r="G724" i="2"/>
  <c r="F724" i="2"/>
  <c r="D724" i="2"/>
  <c r="C724" i="2"/>
  <c r="B724" i="2"/>
  <c r="J723" i="1"/>
  <c r="J723" i="2"/>
  <c r="A723" i="1"/>
  <c r="A723" i="2"/>
  <c r="I723" i="2"/>
  <c r="H723" i="2"/>
  <c r="G723" i="2"/>
  <c r="F723" i="2"/>
  <c r="D723" i="2"/>
  <c r="C723" i="2"/>
  <c r="B723" i="2"/>
  <c r="J722" i="1"/>
  <c r="J722" i="2"/>
  <c r="A722" i="1"/>
  <c r="A722" i="2"/>
  <c r="I722" i="2"/>
  <c r="H722" i="2"/>
  <c r="G722" i="2"/>
  <c r="F722" i="2"/>
  <c r="D722" i="2"/>
  <c r="C722" i="2"/>
  <c r="B722" i="2"/>
  <c r="J721" i="1"/>
  <c r="J721" i="2"/>
  <c r="A721" i="1"/>
  <c r="A721" i="2"/>
  <c r="I721" i="2"/>
  <c r="H721" i="2"/>
  <c r="G721" i="2"/>
  <c r="F721" i="2"/>
  <c r="D721" i="2"/>
  <c r="C721" i="2"/>
  <c r="B721" i="2"/>
  <c r="J720" i="1"/>
  <c r="J720" i="2"/>
  <c r="A720" i="1"/>
  <c r="A720" i="2"/>
  <c r="I720" i="2"/>
  <c r="H720" i="2"/>
  <c r="G720" i="2"/>
  <c r="F720" i="2"/>
  <c r="D720" i="2"/>
  <c r="C720" i="2"/>
  <c r="B720" i="2"/>
  <c r="J719" i="1"/>
  <c r="J719" i="2"/>
  <c r="A719" i="1"/>
  <c r="A719" i="2"/>
  <c r="I719" i="2"/>
  <c r="H719" i="2"/>
  <c r="G719" i="2"/>
  <c r="F719" i="2"/>
  <c r="D719" i="2"/>
  <c r="C719" i="2"/>
  <c r="B719" i="2"/>
  <c r="J718" i="1"/>
  <c r="J718" i="2"/>
  <c r="A718" i="1"/>
  <c r="A718" i="2"/>
  <c r="I718" i="2"/>
  <c r="H718" i="2"/>
  <c r="G718" i="2"/>
  <c r="F718" i="2"/>
  <c r="D718" i="2"/>
  <c r="C718" i="2"/>
  <c r="B718" i="2"/>
  <c r="J717" i="1"/>
  <c r="J717" i="2"/>
  <c r="A717" i="1"/>
  <c r="A717" i="2"/>
  <c r="I717" i="2"/>
  <c r="H717" i="2"/>
  <c r="G717" i="2"/>
  <c r="F717" i="2"/>
  <c r="D717" i="2"/>
  <c r="C717" i="2"/>
  <c r="B717" i="2"/>
  <c r="J716" i="1"/>
  <c r="J716" i="2"/>
  <c r="A716" i="1"/>
  <c r="A716" i="2"/>
  <c r="I716" i="2"/>
  <c r="H716" i="2"/>
  <c r="G716" i="2"/>
  <c r="F716" i="2"/>
  <c r="D716" i="2"/>
  <c r="C716" i="2"/>
  <c r="B716" i="2"/>
  <c r="J715" i="1"/>
  <c r="J715" i="2"/>
  <c r="A715" i="1"/>
  <c r="A715" i="2"/>
  <c r="I715" i="2"/>
  <c r="H715" i="2"/>
  <c r="G715" i="2"/>
  <c r="F715" i="2"/>
  <c r="D715" i="2"/>
  <c r="C715" i="2"/>
  <c r="B715" i="2"/>
  <c r="J714" i="1"/>
  <c r="J714" i="2"/>
  <c r="A714" i="1"/>
  <c r="A714" i="2"/>
  <c r="I714" i="2"/>
  <c r="H714" i="2"/>
  <c r="G714" i="2"/>
  <c r="F714" i="2"/>
  <c r="D714" i="2"/>
  <c r="C714" i="2"/>
  <c r="B714" i="2"/>
  <c r="J713" i="1"/>
  <c r="J713" i="2"/>
  <c r="A713" i="1"/>
  <c r="A713" i="2"/>
  <c r="I713" i="2"/>
  <c r="H713" i="2"/>
  <c r="G713" i="2"/>
  <c r="F713" i="2"/>
  <c r="D713" i="2"/>
  <c r="C713" i="2"/>
  <c r="B713" i="2"/>
  <c r="J712" i="1"/>
  <c r="J712" i="2"/>
  <c r="A712" i="1"/>
  <c r="A712" i="2"/>
  <c r="I712" i="2"/>
  <c r="H712" i="2"/>
  <c r="G712" i="2"/>
  <c r="F712" i="2"/>
  <c r="D712" i="2"/>
  <c r="C712" i="2"/>
  <c r="B712" i="2"/>
  <c r="J711" i="1"/>
  <c r="J711" i="2"/>
  <c r="A711" i="1"/>
  <c r="A711" i="2"/>
  <c r="I711" i="2"/>
  <c r="H711" i="2"/>
  <c r="G711" i="2"/>
  <c r="F711" i="2"/>
  <c r="D711" i="2"/>
  <c r="C711" i="2"/>
  <c r="B711" i="2"/>
  <c r="J710" i="1"/>
  <c r="J710" i="2"/>
  <c r="A710" i="1"/>
  <c r="A710" i="2"/>
  <c r="I710" i="2"/>
  <c r="H710" i="2"/>
  <c r="G710" i="2"/>
  <c r="F710" i="2"/>
  <c r="D710" i="2"/>
  <c r="C710" i="2"/>
  <c r="B710" i="2"/>
  <c r="J709" i="1"/>
  <c r="J709" i="2"/>
  <c r="A709" i="1"/>
  <c r="A709" i="2"/>
  <c r="I709" i="2"/>
  <c r="H709" i="2"/>
  <c r="G709" i="2"/>
  <c r="F709" i="2"/>
  <c r="D709" i="2"/>
  <c r="C709" i="2"/>
  <c r="B709" i="2"/>
  <c r="J708" i="1"/>
  <c r="J708" i="2"/>
  <c r="A708" i="1"/>
  <c r="A708" i="2"/>
  <c r="I708" i="2"/>
  <c r="H708" i="2"/>
  <c r="G708" i="2"/>
  <c r="F708" i="2"/>
  <c r="D708" i="2"/>
  <c r="C708" i="2"/>
  <c r="B708" i="2"/>
  <c r="J707" i="1"/>
  <c r="J707" i="2"/>
  <c r="A707" i="1"/>
  <c r="A707" i="2"/>
  <c r="I707" i="2"/>
  <c r="H707" i="2"/>
  <c r="G707" i="2"/>
  <c r="F707" i="2"/>
  <c r="D707" i="2"/>
  <c r="C707" i="2"/>
  <c r="B707" i="2"/>
  <c r="J706" i="1"/>
  <c r="J706" i="2"/>
  <c r="A706" i="1"/>
  <c r="A706" i="2"/>
  <c r="I706" i="2"/>
  <c r="H706" i="2"/>
  <c r="G706" i="2"/>
  <c r="F706" i="2"/>
  <c r="D706" i="2"/>
  <c r="C706" i="2"/>
  <c r="B706" i="2"/>
  <c r="J705" i="1"/>
  <c r="J705" i="2"/>
  <c r="A705" i="1"/>
  <c r="A705" i="2"/>
  <c r="I705" i="2"/>
  <c r="H705" i="2"/>
  <c r="G705" i="2"/>
  <c r="F705" i="2"/>
  <c r="D705" i="2"/>
  <c r="C705" i="2"/>
  <c r="B705" i="2"/>
  <c r="J704" i="1"/>
  <c r="J704" i="2"/>
  <c r="A704" i="1"/>
  <c r="A704" i="2"/>
  <c r="I704" i="2"/>
  <c r="H704" i="2"/>
  <c r="G704" i="2"/>
  <c r="F704" i="2"/>
  <c r="D704" i="2"/>
  <c r="C704" i="2"/>
  <c r="B704" i="2"/>
  <c r="J703" i="1"/>
  <c r="J703" i="2"/>
  <c r="A703" i="1"/>
  <c r="A703" i="2"/>
  <c r="I703" i="2"/>
  <c r="H703" i="2"/>
  <c r="G703" i="2"/>
  <c r="F703" i="2"/>
  <c r="D703" i="2"/>
  <c r="C703" i="2"/>
  <c r="B703" i="2"/>
  <c r="J702" i="1"/>
  <c r="J702" i="2"/>
  <c r="A702" i="1"/>
  <c r="A702" i="2"/>
  <c r="I702" i="2"/>
  <c r="H702" i="2"/>
  <c r="G702" i="2"/>
  <c r="F702" i="2"/>
  <c r="D702" i="2"/>
  <c r="C702" i="2"/>
  <c r="B702" i="2"/>
  <c r="J701" i="1"/>
  <c r="J701" i="2"/>
  <c r="A701" i="1"/>
  <c r="A701" i="2"/>
  <c r="I701" i="2"/>
  <c r="H701" i="2"/>
  <c r="G701" i="2"/>
  <c r="F701" i="2"/>
  <c r="D701" i="2"/>
  <c r="C701" i="2"/>
  <c r="B701" i="2"/>
  <c r="J700" i="1"/>
  <c r="J700" i="2"/>
  <c r="A700" i="1"/>
  <c r="A700" i="2"/>
  <c r="I700" i="2"/>
  <c r="H700" i="2"/>
  <c r="G700" i="2"/>
  <c r="F700" i="2"/>
  <c r="D700" i="2"/>
  <c r="C700" i="2"/>
  <c r="B700" i="2"/>
  <c r="J699" i="1"/>
  <c r="J699" i="2"/>
  <c r="A699" i="1"/>
  <c r="A699" i="2"/>
  <c r="I699" i="2"/>
  <c r="H699" i="2"/>
  <c r="G699" i="2"/>
  <c r="F699" i="2"/>
  <c r="D699" i="2"/>
  <c r="C699" i="2"/>
  <c r="B699" i="2"/>
  <c r="J698" i="1"/>
  <c r="J698" i="2"/>
  <c r="A698" i="1"/>
  <c r="A698" i="2"/>
  <c r="I698" i="2"/>
  <c r="H698" i="2"/>
  <c r="G698" i="2"/>
  <c r="F698" i="2"/>
  <c r="D698" i="2"/>
  <c r="C698" i="2"/>
  <c r="B698" i="2"/>
  <c r="J697" i="1"/>
  <c r="J697" i="2"/>
  <c r="A697" i="1"/>
  <c r="A697" i="2"/>
  <c r="I697" i="2"/>
  <c r="H697" i="2"/>
  <c r="G697" i="2"/>
  <c r="F697" i="2"/>
  <c r="D697" i="2"/>
  <c r="C697" i="2"/>
  <c r="B697" i="2"/>
  <c r="J696" i="1"/>
  <c r="J696" i="2"/>
  <c r="A696" i="1"/>
  <c r="A696" i="2"/>
  <c r="I696" i="2"/>
  <c r="H696" i="2"/>
  <c r="G696" i="2"/>
  <c r="F696" i="2"/>
  <c r="D696" i="2"/>
  <c r="C696" i="2"/>
  <c r="B696" i="2"/>
  <c r="J695" i="1"/>
  <c r="J695" i="2"/>
  <c r="A695" i="1"/>
  <c r="A695" i="2"/>
  <c r="I695" i="2"/>
  <c r="H695" i="2"/>
  <c r="G695" i="2"/>
  <c r="F695" i="2"/>
  <c r="D695" i="2"/>
  <c r="C695" i="2"/>
  <c r="B695" i="2"/>
  <c r="J694" i="1"/>
  <c r="J694" i="2"/>
  <c r="A694" i="1"/>
  <c r="A694" i="2"/>
  <c r="I694" i="2"/>
  <c r="H694" i="2"/>
  <c r="G694" i="2"/>
  <c r="F694" i="2"/>
  <c r="D694" i="2"/>
  <c r="C694" i="2"/>
  <c r="B694" i="2"/>
  <c r="J693" i="1"/>
  <c r="J693" i="2"/>
  <c r="A693" i="1"/>
  <c r="A693" i="2"/>
  <c r="I693" i="2"/>
  <c r="H693" i="2"/>
  <c r="G693" i="2"/>
  <c r="F693" i="2"/>
  <c r="D693" i="2"/>
  <c r="C693" i="2"/>
  <c r="B693" i="2"/>
  <c r="J692" i="1"/>
  <c r="J692" i="2"/>
  <c r="A692" i="1"/>
  <c r="A692" i="2"/>
  <c r="I692" i="2"/>
  <c r="H692" i="2"/>
  <c r="G692" i="2"/>
  <c r="F692" i="2"/>
  <c r="D692" i="2"/>
  <c r="C692" i="2"/>
  <c r="B692" i="2"/>
  <c r="J691" i="1"/>
  <c r="J691" i="2"/>
  <c r="A691" i="1"/>
  <c r="A691" i="2"/>
  <c r="I691" i="2"/>
  <c r="H691" i="2"/>
  <c r="G691" i="2"/>
  <c r="F691" i="2"/>
  <c r="D691" i="2"/>
  <c r="C691" i="2"/>
  <c r="B691" i="2"/>
  <c r="J690" i="1"/>
  <c r="J690" i="2"/>
  <c r="A690" i="1"/>
  <c r="A690" i="2"/>
  <c r="I690" i="2"/>
  <c r="H690" i="2"/>
  <c r="G690" i="2"/>
  <c r="F690" i="2"/>
  <c r="D690" i="2"/>
  <c r="C690" i="2"/>
  <c r="B690" i="2"/>
  <c r="J689" i="1"/>
  <c r="J689" i="2"/>
  <c r="A689" i="1"/>
  <c r="A689" i="2"/>
  <c r="I689" i="2"/>
  <c r="H689" i="2"/>
  <c r="G689" i="2"/>
  <c r="F689" i="2"/>
  <c r="D689" i="2"/>
  <c r="C689" i="2"/>
  <c r="B689" i="2"/>
  <c r="J688" i="1"/>
  <c r="J688" i="2"/>
  <c r="A688" i="1"/>
  <c r="A688" i="2"/>
  <c r="I688" i="2"/>
  <c r="H688" i="2"/>
  <c r="G688" i="2"/>
  <c r="F688" i="2"/>
  <c r="D688" i="2"/>
  <c r="C688" i="2"/>
  <c r="B688" i="2"/>
  <c r="J687" i="1"/>
  <c r="J687" i="2"/>
  <c r="A687" i="1"/>
  <c r="A687" i="2"/>
  <c r="I687" i="2"/>
  <c r="H687" i="2"/>
  <c r="G687" i="2"/>
  <c r="F687" i="2"/>
  <c r="D687" i="2"/>
  <c r="C687" i="2"/>
  <c r="B687" i="2"/>
  <c r="J686" i="1"/>
  <c r="J686" i="2"/>
  <c r="A686" i="1"/>
  <c r="A686" i="2"/>
  <c r="I686" i="2"/>
  <c r="H686" i="2"/>
  <c r="G686" i="2"/>
  <c r="F686" i="2"/>
  <c r="D686" i="2"/>
  <c r="C686" i="2"/>
  <c r="B686" i="2"/>
  <c r="J685" i="1"/>
  <c r="J685" i="2"/>
  <c r="A685" i="1"/>
  <c r="A685" i="2"/>
  <c r="I685" i="2"/>
  <c r="H685" i="2"/>
  <c r="G685" i="2"/>
  <c r="F685" i="2"/>
  <c r="D685" i="2"/>
  <c r="C685" i="2"/>
  <c r="B685" i="2"/>
  <c r="J684" i="1"/>
  <c r="J684" i="2"/>
  <c r="A684" i="1"/>
  <c r="A684" i="2"/>
  <c r="I684" i="2"/>
  <c r="H684" i="2"/>
  <c r="G684" i="2"/>
  <c r="F684" i="2"/>
  <c r="D684" i="2"/>
  <c r="C684" i="2"/>
  <c r="B684" i="2"/>
  <c r="J683" i="1"/>
  <c r="J683" i="2"/>
  <c r="A683" i="1"/>
  <c r="A683" i="2"/>
  <c r="I683" i="2"/>
  <c r="H683" i="2"/>
  <c r="G683" i="2"/>
  <c r="F683" i="2"/>
  <c r="D683" i="2"/>
  <c r="C683" i="2"/>
  <c r="B683" i="2"/>
  <c r="J682" i="1"/>
  <c r="J682" i="2"/>
  <c r="A682" i="1"/>
  <c r="A682" i="2"/>
  <c r="I682" i="2"/>
  <c r="H682" i="2"/>
  <c r="G682" i="2"/>
  <c r="F682" i="2"/>
  <c r="D682" i="2"/>
  <c r="C682" i="2"/>
  <c r="B682" i="2"/>
  <c r="J681" i="1"/>
  <c r="J681" i="2"/>
  <c r="A681" i="1"/>
  <c r="A681" i="2"/>
  <c r="I681" i="2"/>
  <c r="H681" i="2"/>
  <c r="G681" i="2"/>
  <c r="F681" i="2"/>
  <c r="D681" i="2"/>
  <c r="C681" i="2"/>
  <c r="B681" i="2"/>
  <c r="J680" i="1"/>
  <c r="J680" i="2"/>
  <c r="A680" i="1"/>
  <c r="A680" i="2"/>
  <c r="I680" i="2"/>
  <c r="H680" i="2"/>
  <c r="G680" i="2"/>
  <c r="F680" i="2"/>
  <c r="D680" i="2"/>
  <c r="C680" i="2"/>
  <c r="B680" i="2"/>
  <c r="J679" i="1"/>
  <c r="J679" i="2"/>
  <c r="A679" i="1"/>
  <c r="A679" i="2"/>
  <c r="I679" i="2"/>
  <c r="H679" i="2"/>
  <c r="G679" i="2"/>
  <c r="F679" i="2"/>
  <c r="D679" i="2"/>
  <c r="C679" i="2"/>
  <c r="B679" i="2"/>
  <c r="J678" i="1"/>
  <c r="J678" i="2"/>
  <c r="A678" i="1"/>
  <c r="A678" i="2"/>
  <c r="I678" i="2"/>
  <c r="H678" i="2"/>
  <c r="G678" i="2"/>
  <c r="F678" i="2"/>
  <c r="D678" i="2"/>
  <c r="C678" i="2"/>
  <c r="B678" i="2"/>
  <c r="J677" i="1"/>
  <c r="J677" i="2"/>
  <c r="A677" i="1"/>
  <c r="A677" i="2"/>
  <c r="I677" i="2"/>
  <c r="H677" i="2"/>
  <c r="G677" i="2"/>
  <c r="F677" i="2"/>
  <c r="D677" i="2"/>
  <c r="C677" i="2"/>
  <c r="B677" i="2"/>
  <c r="J676" i="1"/>
  <c r="J676" i="2"/>
  <c r="A676" i="1"/>
  <c r="A676" i="2"/>
  <c r="I676" i="2"/>
  <c r="H676" i="2"/>
  <c r="G676" i="2"/>
  <c r="F676" i="2"/>
  <c r="D676" i="2"/>
  <c r="C676" i="2"/>
  <c r="B676" i="2"/>
  <c r="J675" i="1"/>
  <c r="J675" i="2"/>
  <c r="A675" i="1"/>
  <c r="A675" i="2"/>
  <c r="I675" i="2"/>
  <c r="H675" i="2"/>
  <c r="G675" i="2"/>
  <c r="F675" i="2"/>
  <c r="D675" i="2"/>
  <c r="C675" i="2"/>
  <c r="B675" i="2"/>
  <c r="J674" i="1"/>
  <c r="J674" i="2"/>
  <c r="A674" i="1"/>
  <c r="A674" i="2"/>
  <c r="I674" i="2"/>
  <c r="H674" i="2"/>
  <c r="G674" i="2"/>
  <c r="F674" i="2"/>
  <c r="D674" i="2"/>
  <c r="C674" i="2"/>
  <c r="B674" i="2"/>
  <c r="J673" i="1"/>
  <c r="J673" i="2"/>
  <c r="A673" i="1"/>
  <c r="A673" i="2"/>
  <c r="I673" i="2"/>
  <c r="H673" i="2"/>
  <c r="G673" i="2"/>
  <c r="F673" i="2"/>
  <c r="D673" i="2"/>
  <c r="C673" i="2"/>
  <c r="B673" i="2"/>
  <c r="J672" i="1"/>
  <c r="J672" i="2"/>
  <c r="A672" i="1"/>
  <c r="A672" i="2"/>
  <c r="I672" i="2"/>
  <c r="H672" i="2"/>
  <c r="G672" i="2"/>
  <c r="F672" i="2"/>
  <c r="D672" i="2"/>
  <c r="C672" i="2"/>
  <c r="B672" i="2"/>
  <c r="J671" i="1"/>
  <c r="J671" i="2"/>
  <c r="A671" i="1"/>
  <c r="A671" i="2"/>
  <c r="I671" i="2"/>
  <c r="H671" i="2"/>
  <c r="G671" i="2"/>
  <c r="F671" i="2"/>
  <c r="D671" i="2"/>
  <c r="C671" i="2"/>
  <c r="B671" i="2"/>
  <c r="J670" i="1"/>
  <c r="J670" i="2"/>
  <c r="A670" i="1"/>
  <c r="A670" i="2"/>
  <c r="I670" i="2"/>
  <c r="H670" i="2"/>
  <c r="G670" i="2"/>
  <c r="F670" i="2"/>
  <c r="D670" i="2"/>
  <c r="C670" i="2"/>
  <c r="B670" i="2"/>
  <c r="J669" i="1"/>
  <c r="J669" i="2"/>
  <c r="A669" i="1"/>
  <c r="A669" i="2"/>
  <c r="I669" i="2"/>
  <c r="H669" i="2"/>
  <c r="G669" i="2"/>
  <c r="F669" i="2"/>
  <c r="D669" i="2"/>
  <c r="C669" i="2"/>
  <c r="B669" i="2"/>
  <c r="J668" i="1"/>
  <c r="J668" i="2"/>
  <c r="A668" i="1"/>
  <c r="A668" i="2"/>
  <c r="I668" i="2"/>
  <c r="H668" i="2"/>
  <c r="G668" i="2"/>
  <c r="F668" i="2"/>
  <c r="D668" i="2"/>
  <c r="C668" i="2"/>
  <c r="B668" i="2"/>
  <c r="J667" i="1"/>
  <c r="J667" i="2"/>
  <c r="A667" i="1"/>
  <c r="A667" i="2"/>
  <c r="I667" i="2"/>
  <c r="H667" i="2"/>
  <c r="G667" i="2"/>
  <c r="F667" i="2"/>
  <c r="D667" i="2"/>
  <c r="C667" i="2"/>
  <c r="B667" i="2"/>
  <c r="J666" i="1"/>
  <c r="J666" i="2"/>
  <c r="A666" i="1"/>
  <c r="A666" i="2"/>
  <c r="I666" i="2"/>
  <c r="H666" i="2"/>
  <c r="G666" i="2"/>
  <c r="F666" i="2"/>
  <c r="D666" i="2"/>
  <c r="C666" i="2"/>
  <c r="B666" i="2"/>
  <c r="J665" i="1"/>
  <c r="J665" i="2"/>
  <c r="A665" i="1"/>
  <c r="A665" i="2"/>
  <c r="I665" i="2"/>
  <c r="H665" i="2"/>
  <c r="G665" i="2"/>
  <c r="F665" i="2"/>
  <c r="D665" i="2"/>
  <c r="C665" i="2"/>
  <c r="B665" i="2"/>
  <c r="J664" i="1"/>
  <c r="J664" i="2"/>
  <c r="A664" i="1"/>
  <c r="A664" i="2"/>
  <c r="I664" i="2"/>
  <c r="H664" i="2"/>
  <c r="G664" i="2"/>
  <c r="F664" i="2"/>
  <c r="D664" i="2"/>
  <c r="C664" i="2"/>
  <c r="B664" i="2"/>
  <c r="J663" i="1"/>
  <c r="J663" i="2"/>
  <c r="A663" i="1"/>
  <c r="A663" i="2"/>
  <c r="I663" i="2"/>
  <c r="H663" i="2"/>
  <c r="G663" i="2"/>
  <c r="F663" i="2"/>
  <c r="D663" i="2"/>
  <c r="C663" i="2"/>
  <c r="B663" i="2"/>
  <c r="J662" i="1"/>
  <c r="J662" i="2"/>
  <c r="A662" i="1"/>
  <c r="A662" i="2"/>
  <c r="I662" i="2"/>
  <c r="H662" i="2"/>
  <c r="G662" i="2"/>
  <c r="F662" i="2"/>
  <c r="D662" i="2"/>
  <c r="C662" i="2"/>
  <c r="B662" i="2"/>
  <c r="J661" i="1"/>
  <c r="J661" i="2"/>
  <c r="A661" i="1"/>
  <c r="A661" i="2"/>
  <c r="I661" i="2"/>
  <c r="H661" i="2"/>
  <c r="G661" i="2"/>
  <c r="F661" i="2"/>
  <c r="D661" i="2"/>
  <c r="C661" i="2"/>
  <c r="B661" i="2"/>
  <c r="J660" i="1"/>
  <c r="J660" i="2"/>
  <c r="A660" i="1"/>
  <c r="A660" i="2"/>
  <c r="I660" i="2"/>
  <c r="H660" i="2"/>
  <c r="G660" i="2"/>
  <c r="F660" i="2"/>
  <c r="D660" i="2"/>
  <c r="C660" i="2"/>
  <c r="B660" i="2"/>
  <c r="J659" i="1"/>
  <c r="J659" i="2"/>
  <c r="A659" i="1"/>
  <c r="A659" i="2"/>
  <c r="I659" i="2"/>
  <c r="H659" i="2"/>
  <c r="G659" i="2"/>
  <c r="F659" i="2"/>
  <c r="D659" i="2"/>
  <c r="C659" i="2"/>
  <c r="B659" i="2"/>
  <c r="J658" i="1"/>
  <c r="J658" i="2"/>
  <c r="A658" i="1"/>
  <c r="A658" i="2"/>
  <c r="I658" i="2"/>
  <c r="H658" i="2"/>
  <c r="G658" i="2"/>
  <c r="F658" i="2"/>
  <c r="D658" i="2"/>
  <c r="C658" i="2"/>
  <c r="B658" i="2"/>
  <c r="J657" i="1"/>
  <c r="J657" i="2"/>
  <c r="A657" i="1"/>
  <c r="A657" i="2"/>
  <c r="I657" i="2"/>
  <c r="H657" i="2"/>
  <c r="G657" i="2"/>
  <c r="F657" i="2"/>
  <c r="D657" i="2"/>
  <c r="C657" i="2"/>
  <c r="B657" i="2"/>
  <c r="J656" i="1"/>
  <c r="J656" i="2"/>
  <c r="A656" i="1"/>
  <c r="A656" i="2"/>
  <c r="I656" i="2"/>
  <c r="H656" i="2"/>
  <c r="G656" i="2"/>
  <c r="F656" i="2"/>
  <c r="D656" i="2"/>
  <c r="C656" i="2"/>
  <c r="B656" i="2"/>
  <c r="J655" i="1"/>
  <c r="J655" i="2"/>
  <c r="A655" i="1"/>
  <c r="A655" i="2"/>
  <c r="I655" i="2"/>
  <c r="H655" i="2"/>
  <c r="G655" i="2"/>
  <c r="F655" i="2"/>
  <c r="D655" i="2"/>
  <c r="C655" i="2"/>
  <c r="B655" i="2"/>
  <c r="J654" i="1"/>
  <c r="J654" i="2"/>
  <c r="A654" i="1"/>
  <c r="A654" i="2"/>
  <c r="I654" i="2"/>
  <c r="H654" i="2"/>
  <c r="G654" i="2"/>
  <c r="F654" i="2"/>
  <c r="D654" i="2"/>
  <c r="C654" i="2"/>
  <c r="B654" i="2"/>
  <c r="J653" i="1"/>
  <c r="J653" i="2"/>
  <c r="A653" i="1"/>
  <c r="A653" i="2"/>
  <c r="I653" i="2"/>
  <c r="H653" i="2"/>
  <c r="G653" i="2"/>
  <c r="F653" i="2"/>
  <c r="D653" i="2"/>
  <c r="C653" i="2"/>
  <c r="B653" i="2"/>
  <c r="J652" i="1"/>
  <c r="J652" i="2"/>
  <c r="A652" i="1"/>
  <c r="A652" i="2"/>
  <c r="I652" i="2"/>
  <c r="H652" i="2"/>
  <c r="G652" i="2"/>
  <c r="F652" i="2"/>
  <c r="D652" i="2"/>
  <c r="C652" i="2"/>
  <c r="B652" i="2"/>
  <c r="J651" i="1"/>
  <c r="J651" i="2"/>
  <c r="A651" i="1"/>
  <c r="A651" i="2"/>
  <c r="I651" i="2"/>
  <c r="H651" i="2"/>
  <c r="G651" i="2"/>
  <c r="F651" i="2"/>
  <c r="D651" i="2"/>
  <c r="C651" i="2"/>
  <c r="B651" i="2"/>
  <c r="J650" i="1"/>
  <c r="J650" i="2"/>
  <c r="A650" i="1"/>
  <c r="A650" i="2"/>
  <c r="I650" i="2"/>
  <c r="H650" i="2"/>
  <c r="G650" i="2"/>
  <c r="F650" i="2"/>
  <c r="D650" i="2"/>
  <c r="C650" i="2"/>
  <c r="B650" i="2"/>
  <c r="J649" i="1"/>
  <c r="J649" i="2"/>
  <c r="A649" i="1"/>
  <c r="A649" i="2"/>
  <c r="I649" i="2"/>
  <c r="H649" i="2"/>
  <c r="G649" i="2"/>
  <c r="F649" i="2"/>
  <c r="D649" i="2"/>
  <c r="C649" i="2"/>
  <c r="B649" i="2"/>
  <c r="J648" i="1"/>
  <c r="J648" i="2"/>
  <c r="A648" i="1"/>
  <c r="A648" i="2"/>
  <c r="I648" i="2"/>
  <c r="H648" i="2"/>
  <c r="G648" i="2"/>
  <c r="F648" i="2"/>
  <c r="D648" i="2"/>
  <c r="C648" i="2"/>
  <c r="B648" i="2"/>
  <c r="J647" i="1"/>
  <c r="J647" i="2"/>
  <c r="A647" i="1"/>
  <c r="A647" i="2"/>
  <c r="I647" i="2"/>
  <c r="H647" i="2"/>
  <c r="G647" i="2"/>
  <c r="F647" i="2"/>
  <c r="D647" i="2"/>
  <c r="C647" i="2"/>
  <c r="B647" i="2"/>
  <c r="J646" i="1"/>
  <c r="J646" i="2"/>
  <c r="A646" i="1"/>
  <c r="A646" i="2"/>
  <c r="I646" i="2"/>
  <c r="H646" i="2"/>
  <c r="G646" i="2"/>
  <c r="F646" i="2"/>
  <c r="D646" i="2"/>
  <c r="C646" i="2"/>
  <c r="B646" i="2"/>
  <c r="J645" i="1"/>
  <c r="J645" i="2"/>
  <c r="A645" i="1"/>
  <c r="A645" i="2"/>
  <c r="I645" i="2"/>
  <c r="H645" i="2"/>
  <c r="G645" i="2"/>
  <c r="F645" i="2"/>
  <c r="D645" i="2"/>
  <c r="C645" i="2"/>
  <c r="B645" i="2"/>
  <c r="J644" i="1"/>
  <c r="J644" i="2"/>
  <c r="A644" i="1"/>
  <c r="A644" i="2"/>
  <c r="I644" i="2"/>
  <c r="H644" i="2"/>
  <c r="G644" i="2"/>
  <c r="F644" i="2"/>
  <c r="D644" i="2"/>
  <c r="C644" i="2"/>
  <c r="B644" i="2"/>
  <c r="J643" i="1"/>
  <c r="J643" i="2"/>
  <c r="A643" i="1"/>
  <c r="A643" i="2"/>
  <c r="I643" i="2"/>
  <c r="H643" i="2"/>
  <c r="G643" i="2"/>
  <c r="F643" i="2"/>
  <c r="D643" i="2"/>
  <c r="C643" i="2"/>
  <c r="B643" i="2"/>
  <c r="J642" i="1"/>
  <c r="J642" i="2"/>
  <c r="A642" i="1"/>
  <c r="A642" i="2"/>
  <c r="I642" i="2"/>
  <c r="H642" i="2"/>
  <c r="G642" i="2"/>
  <c r="F642" i="2"/>
  <c r="D642" i="2"/>
  <c r="C642" i="2"/>
  <c r="B642" i="2"/>
  <c r="J641" i="1"/>
  <c r="J641" i="2"/>
  <c r="A641" i="1"/>
  <c r="A641" i="2"/>
  <c r="I641" i="2"/>
  <c r="H641" i="2"/>
  <c r="G641" i="2"/>
  <c r="F641" i="2"/>
  <c r="D641" i="2"/>
  <c r="C641" i="2"/>
  <c r="B641" i="2"/>
  <c r="J640" i="1"/>
  <c r="J640" i="2"/>
  <c r="A640" i="1"/>
  <c r="A640" i="2"/>
  <c r="I640" i="2"/>
  <c r="H640" i="2"/>
  <c r="G640" i="2"/>
  <c r="F640" i="2"/>
  <c r="D640" i="2"/>
  <c r="C640" i="2"/>
  <c r="B640" i="2"/>
  <c r="J639" i="1"/>
  <c r="J639" i="2"/>
  <c r="A639" i="1"/>
  <c r="A639" i="2"/>
  <c r="I639" i="2"/>
  <c r="H639" i="2"/>
  <c r="G639" i="2"/>
  <c r="F639" i="2"/>
  <c r="D639" i="2"/>
  <c r="C639" i="2"/>
  <c r="B639" i="2"/>
  <c r="J638" i="1"/>
  <c r="J638" i="2"/>
  <c r="A638" i="1"/>
  <c r="A638" i="2"/>
  <c r="I638" i="2"/>
  <c r="H638" i="2"/>
  <c r="G638" i="2"/>
  <c r="F638" i="2"/>
  <c r="D638" i="2"/>
  <c r="C638" i="2"/>
  <c r="B638" i="2"/>
  <c r="J637" i="1"/>
  <c r="J637" i="2"/>
  <c r="A637" i="1"/>
  <c r="A637" i="2"/>
  <c r="I637" i="2"/>
  <c r="H637" i="2"/>
  <c r="G637" i="2"/>
  <c r="F637" i="2"/>
  <c r="D637" i="2"/>
  <c r="C637" i="2"/>
  <c r="B637" i="2"/>
  <c r="J636" i="1"/>
  <c r="J636" i="2"/>
  <c r="A636" i="1"/>
  <c r="A636" i="2"/>
  <c r="I636" i="2"/>
  <c r="H636" i="2"/>
  <c r="G636" i="2"/>
  <c r="F636" i="2"/>
  <c r="D636" i="2"/>
  <c r="C636" i="2"/>
  <c r="B636" i="2"/>
  <c r="J635" i="1"/>
  <c r="J635" i="2"/>
  <c r="A635" i="1"/>
  <c r="A635" i="2"/>
  <c r="I635" i="2"/>
  <c r="H635" i="2"/>
  <c r="G635" i="2"/>
  <c r="F635" i="2"/>
  <c r="D635" i="2"/>
  <c r="C635" i="2"/>
  <c r="B635" i="2"/>
  <c r="J634" i="1"/>
  <c r="J634" i="2"/>
  <c r="A634" i="1"/>
  <c r="A634" i="2"/>
  <c r="I634" i="2"/>
  <c r="H634" i="2"/>
  <c r="G634" i="2"/>
  <c r="F634" i="2"/>
  <c r="D634" i="2"/>
  <c r="C634" i="2"/>
  <c r="B634" i="2"/>
  <c r="J633" i="1"/>
  <c r="J633" i="2"/>
  <c r="A633" i="1"/>
  <c r="A633" i="2"/>
  <c r="I633" i="2"/>
  <c r="H633" i="2"/>
  <c r="G633" i="2"/>
  <c r="F633" i="2"/>
  <c r="D633" i="2"/>
  <c r="C633" i="2"/>
  <c r="B633" i="2"/>
  <c r="J632" i="1"/>
  <c r="J632" i="2"/>
  <c r="A632" i="1"/>
  <c r="A632" i="2"/>
  <c r="I632" i="2"/>
  <c r="H632" i="2"/>
  <c r="G632" i="2"/>
  <c r="F632" i="2"/>
  <c r="D632" i="2"/>
  <c r="C632" i="2"/>
  <c r="B632" i="2"/>
  <c r="J631" i="1"/>
  <c r="J631" i="2"/>
  <c r="A631" i="1"/>
  <c r="A631" i="2"/>
  <c r="I631" i="2"/>
  <c r="H631" i="2"/>
  <c r="G631" i="2"/>
  <c r="F631" i="2"/>
  <c r="D631" i="2"/>
  <c r="C631" i="2"/>
  <c r="B631" i="2"/>
  <c r="J630" i="1"/>
  <c r="J630" i="2"/>
  <c r="A630" i="1"/>
  <c r="A630" i="2"/>
  <c r="I630" i="2"/>
  <c r="H630" i="2"/>
  <c r="G630" i="2"/>
  <c r="F630" i="2"/>
  <c r="D630" i="2"/>
  <c r="C630" i="2"/>
  <c r="B630" i="2"/>
  <c r="J629" i="1"/>
  <c r="J629" i="2"/>
  <c r="A629" i="1"/>
  <c r="A629" i="2"/>
  <c r="I629" i="2"/>
  <c r="H629" i="2"/>
  <c r="G629" i="2"/>
  <c r="F629" i="2"/>
  <c r="D629" i="2"/>
  <c r="C629" i="2"/>
  <c r="B629" i="2"/>
  <c r="J628" i="1"/>
  <c r="J628" i="2"/>
  <c r="A628" i="1"/>
  <c r="A628" i="2"/>
  <c r="I628" i="2"/>
  <c r="H628" i="2"/>
  <c r="G628" i="2"/>
  <c r="F628" i="2"/>
  <c r="D628" i="2"/>
  <c r="C628" i="2"/>
  <c r="B628" i="2"/>
  <c r="J627" i="1"/>
  <c r="J627" i="2"/>
  <c r="A627" i="1"/>
  <c r="A627" i="2"/>
  <c r="I627" i="2"/>
  <c r="H627" i="2"/>
  <c r="G627" i="2"/>
  <c r="F627" i="2"/>
  <c r="D627" i="2"/>
  <c r="C627" i="2"/>
  <c r="B627" i="2"/>
  <c r="J626" i="1"/>
  <c r="J626" i="2"/>
  <c r="A626" i="1"/>
  <c r="A626" i="2"/>
  <c r="I626" i="2"/>
  <c r="H626" i="2"/>
  <c r="G626" i="2"/>
  <c r="F626" i="2"/>
  <c r="D626" i="2"/>
  <c r="C626" i="2"/>
  <c r="B626" i="2"/>
  <c r="J625" i="1"/>
  <c r="J625" i="2"/>
  <c r="A625" i="1"/>
  <c r="A625" i="2"/>
  <c r="I625" i="2"/>
  <c r="H625" i="2"/>
  <c r="G625" i="2"/>
  <c r="F625" i="2"/>
  <c r="D625" i="2"/>
  <c r="C625" i="2"/>
  <c r="B625" i="2"/>
  <c r="J624" i="1"/>
  <c r="J624" i="2"/>
  <c r="A624" i="1"/>
  <c r="A624" i="2"/>
  <c r="I624" i="2"/>
  <c r="H624" i="2"/>
  <c r="G624" i="2"/>
  <c r="F624" i="2"/>
  <c r="D624" i="2"/>
  <c r="C624" i="2"/>
  <c r="B624" i="2"/>
  <c r="J623" i="1"/>
  <c r="J623" i="2"/>
  <c r="A623" i="1"/>
  <c r="A623" i="2"/>
  <c r="I623" i="2"/>
  <c r="H623" i="2"/>
  <c r="G623" i="2"/>
  <c r="F623" i="2"/>
  <c r="D623" i="2"/>
  <c r="C623" i="2"/>
  <c r="B623" i="2"/>
  <c r="J622" i="1"/>
  <c r="J622" i="2"/>
  <c r="A622" i="1"/>
  <c r="A622" i="2"/>
  <c r="I622" i="2"/>
  <c r="H622" i="2"/>
  <c r="G622" i="2"/>
  <c r="F622" i="2"/>
  <c r="D622" i="2"/>
  <c r="C622" i="2"/>
  <c r="B622" i="2"/>
  <c r="J621" i="1"/>
  <c r="J621" i="2"/>
  <c r="A621" i="1"/>
  <c r="A621" i="2"/>
  <c r="I621" i="2"/>
  <c r="H621" i="2"/>
  <c r="G621" i="2"/>
  <c r="F621" i="2"/>
  <c r="D621" i="2"/>
  <c r="C621" i="2"/>
  <c r="B621" i="2"/>
  <c r="J620" i="1"/>
  <c r="J620" i="2"/>
  <c r="A620" i="1"/>
  <c r="A620" i="2"/>
  <c r="I620" i="2"/>
  <c r="H620" i="2"/>
  <c r="G620" i="2"/>
  <c r="F620" i="2"/>
  <c r="D620" i="2"/>
  <c r="C620" i="2"/>
  <c r="B620" i="2"/>
  <c r="J619" i="1"/>
  <c r="J619" i="2"/>
  <c r="A619" i="1"/>
  <c r="A619" i="2"/>
  <c r="I619" i="2"/>
  <c r="H619" i="2"/>
  <c r="G619" i="2"/>
  <c r="F619" i="2"/>
  <c r="D619" i="2"/>
  <c r="C619" i="2"/>
  <c r="B619" i="2"/>
  <c r="J618" i="1"/>
  <c r="J618" i="2"/>
  <c r="A618" i="1"/>
  <c r="A618" i="2"/>
  <c r="I618" i="2"/>
  <c r="H618" i="2"/>
  <c r="G618" i="2"/>
  <c r="F618" i="2"/>
  <c r="D618" i="2"/>
  <c r="C618" i="2"/>
  <c r="B618" i="2"/>
  <c r="J617" i="1"/>
  <c r="J617" i="2"/>
  <c r="A617" i="1"/>
  <c r="A617" i="2"/>
  <c r="I617" i="2"/>
  <c r="H617" i="2"/>
  <c r="G617" i="2"/>
  <c r="F617" i="2"/>
  <c r="D617" i="2"/>
  <c r="C617" i="2"/>
  <c r="B617" i="2"/>
  <c r="J616" i="1"/>
  <c r="J616" i="2"/>
  <c r="A616" i="1"/>
  <c r="A616" i="2"/>
  <c r="I616" i="2"/>
  <c r="H616" i="2"/>
  <c r="G616" i="2"/>
  <c r="F616" i="2"/>
  <c r="D616" i="2"/>
  <c r="C616" i="2"/>
  <c r="B616" i="2"/>
  <c r="J615" i="1"/>
  <c r="J615" i="2"/>
  <c r="A615" i="1"/>
  <c r="A615" i="2"/>
  <c r="I615" i="2"/>
  <c r="H615" i="2"/>
  <c r="G615" i="2"/>
  <c r="F615" i="2"/>
  <c r="D615" i="2"/>
  <c r="C615" i="2"/>
  <c r="B615" i="2"/>
  <c r="J614" i="1"/>
  <c r="J614" i="2"/>
  <c r="A614" i="1"/>
  <c r="A614" i="2"/>
  <c r="I614" i="2"/>
  <c r="H614" i="2"/>
  <c r="G614" i="2"/>
  <c r="F614" i="2"/>
  <c r="D614" i="2"/>
  <c r="C614" i="2"/>
  <c r="B614" i="2"/>
  <c r="J613" i="1"/>
  <c r="J613" i="2"/>
  <c r="A613" i="1"/>
  <c r="A613" i="2"/>
  <c r="I613" i="2"/>
  <c r="H613" i="2"/>
  <c r="G613" i="2"/>
  <c r="F613" i="2"/>
  <c r="D613" i="2"/>
  <c r="C613" i="2"/>
  <c r="B613" i="2"/>
  <c r="J612" i="1"/>
  <c r="J612" i="2"/>
  <c r="A612" i="1"/>
  <c r="A612" i="2"/>
  <c r="I612" i="2"/>
  <c r="H612" i="2"/>
  <c r="G612" i="2"/>
  <c r="F612" i="2"/>
  <c r="D612" i="2"/>
  <c r="C612" i="2"/>
  <c r="B612" i="2"/>
  <c r="J611" i="1"/>
  <c r="J611" i="2"/>
  <c r="A611" i="1"/>
  <c r="A611" i="2"/>
  <c r="I611" i="2"/>
  <c r="H611" i="2"/>
  <c r="G611" i="2"/>
  <c r="F611" i="2"/>
  <c r="D611" i="2"/>
  <c r="C611" i="2"/>
  <c r="B611" i="2"/>
  <c r="J610" i="1"/>
  <c r="J610" i="2"/>
  <c r="A610" i="1"/>
  <c r="A610" i="2"/>
  <c r="I610" i="2"/>
  <c r="H610" i="2"/>
  <c r="G610" i="2"/>
  <c r="F610" i="2"/>
  <c r="D610" i="2"/>
  <c r="C610" i="2"/>
  <c r="B610" i="2"/>
  <c r="J609" i="1"/>
  <c r="J609" i="2"/>
  <c r="A609" i="1"/>
  <c r="A609" i="2"/>
  <c r="I609" i="2"/>
  <c r="H609" i="2"/>
  <c r="G609" i="2"/>
  <c r="F609" i="2"/>
  <c r="D609" i="2"/>
  <c r="C609" i="2"/>
  <c r="B609" i="2"/>
  <c r="J608" i="1"/>
  <c r="J608" i="2"/>
  <c r="A608" i="1"/>
  <c r="A608" i="2"/>
  <c r="I608" i="2"/>
  <c r="H608" i="2"/>
  <c r="G608" i="2"/>
  <c r="F608" i="2"/>
  <c r="D608" i="2"/>
  <c r="C608" i="2"/>
  <c r="B608" i="2"/>
  <c r="J607" i="1"/>
  <c r="J607" i="2"/>
  <c r="A607" i="1"/>
  <c r="A607" i="2"/>
  <c r="I607" i="2"/>
  <c r="H607" i="2"/>
  <c r="G607" i="2"/>
  <c r="F607" i="2"/>
  <c r="D607" i="2"/>
  <c r="C607" i="2"/>
  <c r="B607" i="2"/>
  <c r="J606" i="1"/>
  <c r="J606" i="2"/>
  <c r="A606" i="1"/>
  <c r="A606" i="2"/>
  <c r="I606" i="2"/>
  <c r="H606" i="2"/>
  <c r="G606" i="2"/>
  <c r="F606" i="2"/>
  <c r="D606" i="2"/>
  <c r="C606" i="2"/>
  <c r="B606" i="2"/>
  <c r="J605" i="1"/>
  <c r="J605" i="2"/>
  <c r="A605" i="1"/>
  <c r="A605" i="2"/>
  <c r="I605" i="2"/>
  <c r="H605" i="2"/>
  <c r="G605" i="2"/>
  <c r="F605" i="2"/>
  <c r="D605" i="2"/>
  <c r="C605" i="2"/>
  <c r="B605" i="2"/>
  <c r="J604" i="1"/>
  <c r="J604" i="2"/>
  <c r="A604" i="1"/>
  <c r="A604" i="2"/>
  <c r="I604" i="2"/>
  <c r="H604" i="2"/>
  <c r="G604" i="2"/>
  <c r="F604" i="2"/>
  <c r="D604" i="2"/>
  <c r="C604" i="2"/>
  <c r="B604" i="2"/>
  <c r="J603" i="1"/>
  <c r="J603" i="2"/>
  <c r="A603" i="1"/>
  <c r="A603" i="2"/>
  <c r="I603" i="2"/>
  <c r="H603" i="2"/>
  <c r="G603" i="2"/>
  <c r="F603" i="2"/>
  <c r="D603" i="2"/>
  <c r="C603" i="2"/>
  <c r="B603" i="2"/>
  <c r="J602" i="1"/>
  <c r="J602" i="2"/>
  <c r="A602" i="1"/>
  <c r="A602" i="2"/>
  <c r="I602" i="2"/>
  <c r="H602" i="2"/>
  <c r="G602" i="2"/>
  <c r="F602" i="2"/>
  <c r="D602" i="2"/>
  <c r="C602" i="2"/>
  <c r="B602" i="2"/>
  <c r="J601" i="1"/>
  <c r="J601" i="2"/>
  <c r="A601" i="1"/>
  <c r="A601" i="2"/>
  <c r="I601" i="2"/>
  <c r="H601" i="2"/>
  <c r="G601" i="2"/>
  <c r="F601" i="2"/>
  <c r="D601" i="2"/>
  <c r="C601" i="2"/>
  <c r="B601" i="2"/>
  <c r="J600" i="1"/>
  <c r="J600" i="2"/>
  <c r="A600" i="1"/>
  <c r="A600" i="2"/>
  <c r="I600" i="2"/>
  <c r="H600" i="2"/>
  <c r="G600" i="2"/>
  <c r="F600" i="2"/>
  <c r="D600" i="2"/>
  <c r="C600" i="2"/>
  <c r="B600" i="2"/>
  <c r="J599" i="1"/>
  <c r="J599" i="2"/>
  <c r="A599" i="1"/>
  <c r="A599" i="2"/>
  <c r="I599" i="2"/>
  <c r="H599" i="2"/>
  <c r="G599" i="2"/>
  <c r="F599" i="2"/>
  <c r="D599" i="2"/>
  <c r="C599" i="2"/>
  <c r="B599" i="2"/>
  <c r="J598" i="1"/>
  <c r="J598" i="2"/>
  <c r="A598" i="1"/>
  <c r="A598" i="2"/>
  <c r="I598" i="2"/>
  <c r="H598" i="2"/>
  <c r="G598" i="2"/>
  <c r="F598" i="2"/>
  <c r="D598" i="2"/>
  <c r="C598" i="2"/>
  <c r="B598" i="2"/>
  <c r="J597" i="1"/>
  <c r="J597" i="2"/>
  <c r="A597" i="1"/>
  <c r="A597" i="2"/>
  <c r="I597" i="2"/>
  <c r="H597" i="2"/>
  <c r="G597" i="2"/>
  <c r="F597" i="2"/>
  <c r="D597" i="2"/>
  <c r="C597" i="2"/>
  <c r="B597" i="2"/>
  <c r="J596" i="1"/>
  <c r="J596" i="2"/>
  <c r="A596" i="1"/>
  <c r="A596" i="2"/>
  <c r="I596" i="2"/>
  <c r="H596" i="2"/>
  <c r="G596" i="2"/>
  <c r="F596" i="2"/>
  <c r="D596" i="2"/>
  <c r="C596" i="2"/>
  <c r="B596" i="2"/>
  <c r="J595" i="1"/>
  <c r="J595" i="2"/>
  <c r="A595" i="1"/>
  <c r="A595" i="2"/>
  <c r="I595" i="2"/>
  <c r="H595" i="2"/>
  <c r="G595" i="2"/>
  <c r="F595" i="2"/>
  <c r="D595" i="2"/>
  <c r="C595" i="2"/>
  <c r="B595" i="2"/>
  <c r="J594" i="1"/>
  <c r="J594" i="2"/>
  <c r="A594" i="1"/>
  <c r="A594" i="2"/>
  <c r="I594" i="2"/>
  <c r="H594" i="2"/>
  <c r="G594" i="2"/>
  <c r="F594" i="2"/>
  <c r="D594" i="2"/>
  <c r="C594" i="2"/>
  <c r="B594" i="2"/>
  <c r="J593" i="1"/>
  <c r="J593" i="2"/>
  <c r="A593" i="1"/>
  <c r="A593" i="2"/>
  <c r="I593" i="2"/>
  <c r="H593" i="2"/>
  <c r="G593" i="2"/>
  <c r="F593" i="2"/>
  <c r="D593" i="2"/>
  <c r="C593" i="2"/>
  <c r="B593" i="2"/>
  <c r="J592" i="1"/>
  <c r="J592" i="2"/>
  <c r="A592" i="1"/>
  <c r="A592" i="2"/>
  <c r="I592" i="2"/>
  <c r="H592" i="2"/>
  <c r="G592" i="2"/>
  <c r="F592" i="2"/>
  <c r="D592" i="2"/>
  <c r="C592" i="2"/>
  <c r="B592" i="2"/>
  <c r="J591" i="1"/>
  <c r="J591" i="2"/>
  <c r="A591" i="1"/>
  <c r="A591" i="2"/>
  <c r="I591" i="2"/>
  <c r="H591" i="2"/>
  <c r="G591" i="2"/>
  <c r="F591" i="2"/>
  <c r="D591" i="2"/>
  <c r="C591" i="2"/>
  <c r="B591" i="2"/>
  <c r="J590" i="1"/>
  <c r="J590" i="2"/>
  <c r="A590" i="1"/>
  <c r="A590" i="2"/>
  <c r="I590" i="2"/>
  <c r="H590" i="2"/>
  <c r="G590" i="2"/>
  <c r="F590" i="2"/>
  <c r="D590" i="2"/>
  <c r="C590" i="2"/>
  <c r="B590" i="2"/>
  <c r="J589" i="1"/>
  <c r="J589" i="2"/>
  <c r="A589" i="1"/>
  <c r="A589" i="2"/>
  <c r="I589" i="2"/>
  <c r="H589" i="2"/>
  <c r="G589" i="2"/>
  <c r="F589" i="2"/>
  <c r="D589" i="2"/>
  <c r="C589" i="2"/>
  <c r="B589" i="2"/>
  <c r="J588" i="1"/>
  <c r="J588" i="2"/>
  <c r="A588" i="1"/>
  <c r="A588" i="2"/>
  <c r="I588" i="2"/>
  <c r="H588" i="2"/>
  <c r="G588" i="2"/>
  <c r="F588" i="2"/>
  <c r="D588" i="2"/>
  <c r="C588" i="2"/>
  <c r="B588" i="2"/>
  <c r="J587" i="1"/>
  <c r="J587" i="2"/>
  <c r="A587" i="1"/>
  <c r="A587" i="2"/>
  <c r="I587" i="2"/>
  <c r="H587" i="2"/>
  <c r="G587" i="2"/>
  <c r="F587" i="2"/>
  <c r="D587" i="2"/>
  <c r="C587" i="2"/>
  <c r="B587" i="2"/>
  <c r="J586" i="1"/>
  <c r="J586" i="2"/>
  <c r="A586" i="1"/>
  <c r="A586" i="2"/>
  <c r="I586" i="2"/>
  <c r="H586" i="2"/>
  <c r="G586" i="2"/>
  <c r="F586" i="2"/>
  <c r="D586" i="2"/>
  <c r="C586" i="2"/>
  <c r="B586" i="2"/>
  <c r="J585" i="1"/>
  <c r="J585" i="2"/>
  <c r="A585" i="1"/>
  <c r="A585" i="2"/>
  <c r="I585" i="2"/>
  <c r="H585" i="2"/>
  <c r="G585" i="2"/>
  <c r="F585" i="2"/>
  <c r="D585" i="2"/>
  <c r="C585" i="2"/>
  <c r="B585" i="2"/>
  <c r="J584" i="1"/>
  <c r="J584" i="2"/>
  <c r="A584" i="1"/>
  <c r="A584" i="2"/>
  <c r="I584" i="2"/>
  <c r="H584" i="2"/>
  <c r="G584" i="2"/>
  <c r="F584" i="2"/>
  <c r="D584" i="2"/>
  <c r="C584" i="2"/>
  <c r="B584" i="2"/>
  <c r="J583" i="1"/>
  <c r="J583" i="2"/>
  <c r="A583" i="1"/>
  <c r="A583" i="2"/>
  <c r="I583" i="2"/>
  <c r="H583" i="2"/>
  <c r="G583" i="2"/>
  <c r="F583" i="2"/>
  <c r="D583" i="2"/>
  <c r="C583" i="2"/>
  <c r="B583" i="2"/>
  <c r="J582" i="1"/>
  <c r="J582" i="2"/>
  <c r="A582" i="1"/>
  <c r="A582" i="2"/>
  <c r="I582" i="2"/>
  <c r="H582" i="2"/>
  <c r="G582" i="2"/>
  <c r="F582" i="2"/>
  <c r="D582" i="2"/>
  <c r="C582" i="2"/>
  <c r="B582" i="2"/>
  <c r="J581" i="1"/>
  <c r="J581" i="2"/>
  <c r="A581" i="1"/>
  <c r="A581" i="2"/>
  <c r="I581" i="2"/>
  <c r="H581" i="2"/>
  <c r="G581" i="2"/>
  <c r="F581" i="2"/>
  <c r="D581" i="2"/>
  <c r="C581" i="2"/>
  <c r="B581" i="2"/>
  <c r="J580" i="1"/>
  <c r="J580" i="2"/>
  <c r="A580" i="1"/>
  <c r="A580" i="2"/>
  <c r="I580" i="2"/>
  <c r="H580" i="2"/>
  <c r="G580" i="2"/>
  <c r="F580" i="2"/>
  <c r="D580" i="2"/>
  <c r="C580" i="2"/>
  <c r="B580" i="2"/>
  <c r="J579" i="1"/>
  <c r="J579" i="2"/>
  <c r="A579" i="1"/>
  <c r="A579" i="2"/>
  <c r="I579" i="2"/>
  <c r="H579" i="2"/>
  <c r="G579" i="2"/>
  <c r="F579" i="2"/>
  <c r="D579" i="2"/>
  <c r="C579" i="2"/>
  <c r="B579" i="2"/>
  <c r="J578" i="1"/>
  <c r="J578" i="2"/>
  <c r="A578" i="1"/>
  <c r="A578" i="2"/>
  <c r="I578" i="2"/>
  <c r="H578" i="2"/>
  <c r="G578" i="2"/>
  <c r="F578" i="2"/>
  <c r="D578" i="2"/>
  <c r="C578" i="2"/>
  <c r="B578" i="2"/>
  <c r="J577" i="1"/>
  <c r="J577" i="2"/>
  <c r="A577" i="1"/>
  <c r="A577" i="2"/>
  <c r="I577" i="2"/>
  <c r="H577" i="2"/>
  <c r="G577" i="2"/>
  <c r="F577" i="2"/>
  <c r="D577" i="2"/>
  <c r="C577" i="2"/>
  <c r="B577" i="2"/>
  <c r="J576" i="1"/>
  <c r="J576" i="2"/>
  <c r="A576" i="1"/>
  <c r="A576" i="2"/>
  <c r="I576" i="2"/>
  <c r="H576" i="2"/>
  <c r="G576" i="2"/>
  <c r="F576" i="2"/>
  <c r="D576" i="2"/>
  <c r="C576" i="2"/>
  <c r="B576" i="2"/>
  <c r="J575" i="1"/>
  <c r="J575" i="2"/>
  <c r="A575" i="1"/>
  <c r="A575" i="2"/>
  <c r="I575" i="2"/>
  <c r="H575" i="2"/>
  <c r="G575" i="2"/>
  <c r="F575" i="2"/>
  <c r="D575" i="2"/>
  <c r="C575" i="2"/>
  <c r="B575" i="2"/>
  <c r="J574" i="1"/>
  <c r="J574" i="2"/>
  <c r="A574" i="1"/>
  <c r="A574" i="2"/>
  <c r="I574" i="2"/>
  <c r="H574" i="2"/>
  <c r="G574" i="2"/>
  <c r="F574" i="2"/>
  <c r="D574" i="2"/>
  <c r="C574" i="2"/>
  <c r="B574" i="2"/>
  <c r="J573" i="1"/>
  <c r="J573" i="2"/>
  <c r="A573" i="1"/>
  <c r="A573" i="2"/>
  <c r="I573" i="2"/>
  <c r="H573" i="2"/>
  <c r="G573" i="2"/>
  <c r="F573" i="2"/>
  <c r="D573" i="2"/>
  <c r="C573" i="2"/>
  <c r="B573" i="2"/>
  <c r="J572" i="1"/>
  <c r="J572" i="2"/>
  <c r="A572" i="1"/>
  <c r="A572" i="2"/>
  <c r="I572" i="2"/>
  <c r="H572" i="2"/>
  <c r="G572" i="2"/>
  <c r="F572" i="2"/>
  <c r="D572" i="2"/>
  <c r="C572" i="2"/>
  <c r="B572" i="2"/>
  <c r="J571" i="1"/>
  <c r="J571" i="2"/>
  <c r="A571" i="1"/>
  <c r="A571" i="2"/>
  <c r="I571" i="2"/>
  <c r="H571" i="2"/>
  <c r="G571" i="2"/>
  <c r="F571" i="2"/>
  <c r="D571" i="2"/>
  <c r="C571" i="2"/>
  <c r="B571" i="2"/>
  <c r="J570" i="1"/>
  <c r="J570" i="2"/>
  <c r="A570" i="1"/>
  <c r="A570" i="2"/>
  <c r="I570" i="2"/>
  <c r="H570" i="2"/>
  <c r="G570" i="2"/>
  <c r="F570" i="2"/>
  <c r="D570" i="2"/>
  <c r="C570" i="2"/>
  <c r="B570" i="2"/>
  <c r="J569" i="1"/>
  <c r="J569" i="2"/>
  <c r="A569" i="1"/>
  <c r="A569" i="2"/>
  <c r="I569" i="2"/>
  <c r="H569" i="2"/>
  <c r="G569" i="2"/>
  <c r="F569" i="2"/>
  <c r="D569" i="2"/>
  <c r="C569" i="2"/>
  <c r="B569" i="2"/>
  <c r="J568" i="1"/>
  <c r="J568" i="2"/>
  <c r="A568" i="1"/>
  <c r="A568" i="2"/>
  <c r="I568" i="2"/>
  <c r="H568" i="2"/>
  <c r="G568" i="2"/>
  <c r="F568" i="2"/>
  <c r="D568" i="2"/>
  <c r="C568" i="2"/>
  <c r="B568" i="2"/>
  <c r="J567" i="1"/>
  <c r="J567" i="2"/>
  <c r="A567" i="1"/>
  <c r="A567" i="2"/>
  <c r="I567" i="2"/>
  <c r="H567" i="2"/>
  <c r="G567" i="2"/>
  <c r="F567" i="2"/>
  <c r="D567" i="2"/>
  <c r="C567" i="2"/>
  <c r="B567" i="2"/>
  <c r="J566" i="1"/>
  <c r="J566" i="2"/>
  <c r="A566" i="1"/>
  <c r="A566" i="2"/>
  <c r="I566" i="2"/>
  <c r="H566" i="2"/>
  <c r="G566" i="2"/>
  <c r="F566" i="2"/>
  <c r="D566" i="2"/>
  <c r="C566" i="2"/>
  <c r="B566" i="2"/>
  <c r="J565" i="1"/>
  <c r="J565" i="2"/>
  <c r="A565" i="1"/>
  <c r="A565" i="2"/>
  <c r="I565" i="2"/>
  <c r="H565" i="2"/>
  <c r="G565" i="2"/>
  <c r="F565" i="2"/>
  <c r="D565" i="2"/>
  <c r="C565" i="2"/>
  <c r="B565" i="2"/>
  <c r="J564" i="1"/>
  <c r="J564" i="2"/>
  <c r="A564" i="1"/>
  <c r="A564" i="2"/>
  <c r="I564" i="2"/>
  <c r="H564" i="2"/>
  <c r="G564" i="2"/>
  <c r="F564" i="2"/>
  <c r="D564" i="2"/>
  <c r="C564" i="2"/>
  <c r="B564" i="2"/>
  <c r="J563" i="1"/>
  <c r="J563" i="2"/>
  <c r="A563" i="1"/>
  <c r="A563" i="2"/>
  <c r="I563" i="2"/>
  <c r="H563" i="2"/>
  <c r="G563" i="2"/>
  <c r="F563" i="2"/>
  <c r="D563" i="2"/>
  <c r="C563" i="2"/>
  <c r="B563" i="2"/>
  <c r="J562" i="1"/>
  <c r="J562" i="2"/>
  <c r="A562" i="1"/>
  <c r="A562" i="2"/>
  <c r="I562" i="2"/>
  <c r="H562" i="2"/>
  <c r="G562" i="2"/>
  <c r="F562" i="2"/>
  <c r="D562" i="2"/>
  <c r="C562" i="2"/>
  <c r="B562" i="2"/>
  <c r="J561" i="1"/>
  <c r="J561" i="2"/>
  <c r="A561" i="1"/>
  <c r="A561" i="2"/>
  <c r="I561" i="2"/>
  <c r="H561" i="2"/>
  <c r="G561" i="2"/>
  <c r="F561" i="2"/>
  <c r="D561" i="2"/>
  <c r="C561" i="2"/>
  <c r="B561" i="2"/>
  <c r="J560" i="1"/>
  <c r="J560" i="2"/>
  <c r="A560" i="1"/>
  <c r="A560" i="2"/>
  <c r="I560" i="2"/>
  <c r="H560" i="2"/>
  <c r="G560" i="2"/>
  <c r="F560" i="2"/>
  <c r="D560" i="2"/>
  <c r="C560" i="2"/>
  <c r="B560" i="2"/>
  <c r="J559" i="1"/>
  <c r="J559" i="2"/>
  <c r="A559" i="1"/>
  <c r="A559" i="2"/>
  <c r="I559" i="2"/>
  <c r="H559" i="2"/>
  <c r="G559" i="2"/>
  <c r="F559" i="2"/>
  <c r="D559" i="2"/>
  <c r="C559" i="2"/>
  <c r="B559" i="2"/>
  <c r="J558" i="1"/>
  <c r="J558" i="2"/>
  <c r="A558" i="1"/>
  <c r="A558" i="2"/>
  <c r="I558" i="2"/>
  <c r="H558" i="2"/>
  <c r="G558" i="2"/>
  <c r="F558" i="2"/>
  <c r="D558" i="2"/>
  <c r="C558" i="2"/>
  <c r="B558" i="2"/>
  <c r="J557" i="1"/>
  <c r="J557" i="2"/>
  <c r="A557" i="1"/>
  <c r="A557" i="2"/>
  <c r="I557" i="2"/>
  <c r="H557" i="2"/>
  <c r="G557" i="2"/>
  <c r="F557" i="2"/>
  <c r="D557" i="2"/>
  <c r="C557" i="2"/>
  <c r="B557" i="2"/>
  <c r="J556" i="1"/>
  <c r="J556" i="2"/>
  <c r="A556" i="1"/>
  <c r="A556" i="2"/>
  <c r="I556" i="2"/>
  <c r="H556" i="2"/>
  <c r="G556" i="2"/>
  <c r="F556" i="2"/>
  <c r="D556" i="2"/>
  <c r="C556" i="2"/>
  <c r="B556" i="2"/>
  <c r="J555" i="1"/>
  <c r="J555" i="2"/>
  <c r="A555" i="1"/>
  <c r="A555" i="2"/>
  <c r="I555" i="2"/>
  <c r="H555" i="2"/>
  <c r="G555" i="2"/>
  <c r="F555" i="2"/>
  <c r="D555" i="2"/>
  <c r="C555" i="2"/>
  <c r="B555" i="2"/>
  <c r="J554" i="1"/>
  <c r="J554" i="2"/>
  <c r="A554" i="1"/>
  <c r="A554" i="2"/>
  <c r="I554" i="2"/>
  <c r="H554" i="2"/>
  <c r="G554" i="2"/>
  <c r="F554" i="2"/>
  <c r="D554" i="2"/>
  <c r="C554" i="2"/>
  <c r="B554" i="2"/>
  <c r="J553" i="1"/>
  <c r="J553" i="2"/>
  <c r="A553" i="1"/>
  <c r="A553" i="2"/>
  <c r="I553" i="2"/>
  <c r="H553" i="2"/>
  <c r="G553" i="2"/>
  <c r="F553" i="2"/>
  <c r="D553" i="2"/>
  <c r="C553" i="2"/>
  <c r="B553" i="2"/>
  <c r="J552" i="1"/>
  <c r="J552" i="2"/>
  <c r="A552" i="1"/>
  <c r="A552" i="2"/>
  <c r="I552" i="2"/>
  <c r="H552" i="2"/>
  <c r="G552" i="2"/>
  <c r="F552" i="2"/>
  <c r="D552" i="2"/>
  <c r="C552" i="2"/>
  <c r="B552" i="2"/>
  <c r="J551" i="1"/>
  <c r="J551" i="2"/>
  <c r="A551" i="1"/>
  <c r="A551" i="2"/>
  <c r="I551" i="2"/>
  <c r="H551" i="2"/>
  <c r="G551" i="2"/>
  <c r="F551" i="2"/>
  <c r="D551" i="2"/>
  <c r="C551" i="2"/>
  <c r="B551" i="2"/>
  <c r="J550" i="1"/>
  <c r="J550" i="2"/>
  <c r="A550" i="1"/>
  <c r="A550" i="2"/>
  <c r="I550" i="2"/>
  <c r="H550" i="2"/>
  <c r="G550" i="2"/>
  <c r="F550" i="2"/>
  <c r="D550" i="2"/>
  <c r="C550" i="2"/>
  <c r="B550" i="2"/>
  <c r="J549" i="1"/>
  <c r="J549" i="2"/>
  <c r="A549" i="1"/>
  <c r="A549" i="2"/>
  <c r="I549" i="2"/>
  <c r="H549" i="2"/>
  <c r="G549" i="2"/>
  <c r="F549" i="2"/>
  <c r="D549" i="2"/>
  <c r="C549" i="2"/>
  <c r="B549" i="2"/>
  <c r="J548" i="1"/>
  <c r="J548" i="2"/>
  <c r="A548" i="1"/>
  <c r="A548" i="2"/>
  <c r="I548" i="2"/>
  <c r="H548" i="2"/>
  <c r="G548" i="2"/>
  <c r="F548" i="2"/>
  <c r="D548" i="2"/>
  <c r="C548" i="2"/>
  <c r="B548" i="2"/>
  <c r="J547" i="1"/>
  <c r="J547" i="2"/>
  <c r="A547" i="1"/>
  <c r="A547" i="2"/>
  <c r="I547" i="2"/>
  <c r="H547" i="2"/>
  <c r="G547" i="2"/>
  <c r="F547" i="2"/>
  <c r="D547" i="2"/>
  <c r="C547" i="2"/>
  <c r="B547" i="2"/>
  <c r="J546" i="1"/>
  <c r="J546" i="2"/>
  <c r="A546" i="1"/>
  <c r="A546" i="2"/>
  <c r="I546" i="2"/>
  <c r="H546" i="2"/>
  <c r="G546" i="2"/>
  <c r="F546" i="2"/>
  <c r="D546" i="2"/>
  <c r="C546" i="2"/>
  <c r="B546" i="2"/>
  <c r="J545" i="1"/>
  <c r="J545" i="2"/>
  <c r="A545" i="1"/>
  <c r="A545" i="2"/>
  <c r="I545" i="2"/>
  <c r="H545" i="2"/>
  <c r="G545" i="2"/>
  <c r="F545" i="2"/>
  <c r="D545" i="2"/>
  <c r="C545" i="2"/>
  <c r="B545" i="2"/>
  <c r="J544" i="1"/>
  <c r="J544" i="2"/>
  <c r="A544" i="1"/>
  <c r="A544" i="2"/>
  <c r="I544" i="2"/>
  <c r="H544" i="2"/>
  <c r="G544" i="2"/>
  <c r="F544" i="2"/>
  <c r="D544" i="2"/>
  <c r="C544" i="2"/>
  <c r="B544" i="2"/>
  <c r="J543" i="1"/>
  <c r="J543" i="2"/>
  <c r="A543" i="1"/>
  <c r="A543" i="2"/>
  <c r="I543" i="2"/>
  <c r="H543" i="2"/>
  <c r="G543" i="2"/>
  <c r="F543" i="2"/>
  <c r="D543" i="2"/>
  <c r="C543" i="2"/>
  <c r="B543" i="2"/>
  <c r="J542" i="1"/>
  <c r="J542" i="2"/>
  <c r="A542" i="1"/>
  <c r="A542" i="2"/>
  <c r="I542" i="2"/>
  <c r="H542" i="2"/>
  <c r="G542" i="2"/>
  <c r="F542" i="2"/>
  <c r="D542" i="2"/>
  <c r="C542" i="2"/>
  <c r="B542" i="2"/>
  <c r="J541" i="1"/>
  <c r="J541" i="2"/>
  <c r="A541" i="1"/>
  <c r="A541" i="2"/>
  <c r="I541" i="2"/>
  <c r="H541" i="2"/>
  <c r="G541" i="2"/>
  <c r="F541" i="2"/>
  <c r="D541" i="2"/>
  <c r="C541" i="2"/>
  <c r="B541" i="2"/>
  <c r="J540" i="1"/>
  <c r="J540" i="2"/>
  <c r="A540" i="1"/>
  <c r="A540" i="2"/>
  <c r="I540" i="2"/>
  <c r="H540" i="2"/>
  <c r="G540" i="2"/>
  <c r="F540" i="2"/>
  <c r="D540" i="2"/>
  <c r="C540" i="2"/>
  <c r="B540" i="2"/>
  <c r="J539" i="1"/>
  <c r="J539" i="2"/>
  <c r="A539" i="1"/>
  <c r="A539" i="2"/>
  <c r="I539" i="2"/>
  <c r="H539" i="2"/>
  <c r="G539" i="2"/>
  <c r="F539" i="2"/>
  <c r="D539" i="2"/>
  <c r="C539" i="2"/>
  <c r="B539" i="2"/>
  <c r="J538" i="1"/>
  <c r="J538" i="2"/>
  <c r="A538" i="1"/>
  <c r="A538" i="2"/>
  <c r="I538" i="2"/>
  <c r="H538" i="2"/>
  <c r="G538" i="2"/>
  <c r="F538" i="2"/>
  <c r="D538" i="2"/>
  <c r="C538" i="2"/>
  <c r="B538" i="2"/>
  <c r="J537" i="1"/>
  <c r="J537" i="2"/>
  <c r="A537" i="1"/>
  <c r="A537" i="2"/>
  <c r="I537" i="2"/>
  <c r="H537" i="2"/>
  <c r="G537" i="2"/>
  <c r="F537" i="2"/>
  <c r="D537" i="2"/>
  <c r="C537" i="2"/>
  <c r="B537" i="2"/>
  <c r="J536" i="1"/>
  <c r="J536" i="2"/>
  <c r="A536" i="1"/>
  <c r="A536" i="2"/>
  <c r="I536" i="2"/>
  <c r="H536" i="2"/>
  <c r="G536" i="2"/>
  <c r="F536" i="2"/>
  <c r="D536" i="2"/>
  <c r="C536" i="2"/>
  <c r="B536" i="2"/>
  <c r="J535" i="1"/>
  <c r="J535" i="2"/>
  <c r="A535" i="1"/>
  <c r="A535" i="2"/>
  <c r="I535" i="2"/>
  <c r="H535" i="2"/>
  <c r="G535" i="2"/>
  <c r="F535" i="2"/>
  <c r="D535" i="2"/>
  <c r="C535" i="2"/>
  <c r="B535" i="2"/>
  <c r="J534" i="1"/>
  <c r="J534" i="2"/>
  <c r="A534" i="1"/>
  <c r="A534" i="2"/>
  <c r="I534" i="2"/>
  <c r="H534" i="2"/>
  <c r="G534" i="2"/>
  <c r="F534" i="2"/>
  <c r="D534" i="2"/>
  <c r="C534" i="2"/>
  <c r="B534" i="2"/>
  <c r="J533" i="1"/>
  <c r="J533" i="2"/>
  <c r="A533" i="1"/>
  <c r="A533" i="2"/>
  <c r="I533" i="2"/>
  <c r="H533" i="2"/>
  <c r="G533" i="2"/>
  <c r="F533" i="2"/>
  <c r="D533" i="2"/>
  <c r="C533" i="2"/>
  <c r="B533" i="2"/>
  <c r="J532" i="1"/>
  <c r="J532" i="2"/>
  <c r="A532" i="1"/>
  <c r="A532" i="2"/>
  <c r="I532" i="2"/>
  <c r="H532" i="2"/>
  <c r="G532" i="2"/>
  <c r="F532" i="2"/>
  <c r="D532" i="2"/>
  <c r="C532" i="2"/>
  <c r="B532" i="2"/>
  <c r="J531" i="1"/>
  <c r="J531" i="2"/>
  <c r="A531" i="1"/>
  <c r="A531" i="2"/>
  <c r="I531" i="2"/>
  <c r="H531" i="2"/>
  <c r="G531" i="2"/>
  <c r="F531" i="2"/>
  <c r="D531" i="2"/>
  <c r="C531" i="2"/>
  <c r="B531" i="2"/>
  <c r="J530" i="1"/>
  <c r="J530" i="2"/>
  <c r="A530" i="1"/>
  <c r="A530" i="2"/>
  <c r="I530" i="2"/>
  <c r="H530" i="2"/>
  <c r="G530" i="2"/>
  <c r="F530" i="2"/>
  <c r="D530" i="2"/>
  <c r="C530" i="2"/>
  <c r="B530" i="2"/>
  <c r="J529" i="1"/>
  <c r="J529" i="2"/>
  <c r="A529" i="1"/>
  <c r="A529" i="2"/>
  <c r="I529" i="2"/>
  <c r="H529" i="2"/>
  <c r="G529" i="2"/>
  <c r="F529" i="2"/>
  <c r="D529" i="2"/>
  <c r="C529" i="2"/>
  <c r="B529" i="2"/>
  <c r="J528" i="1"/>
  <c r="J528" i="2"/>
  <c r="A528" i="1"/>
  <c r="A528" i="2"/>
  <c r="I528" i="2"/>
  <c r="H528" i="2"/>
  <c r="G528" i="2"/>
  <c r="F528" i="2"/>
  <c r="D528" i="2"/>
  <c r="C528" i="2"/>
  <c r="B528" i="2"/>
  <c r="J527" i="1"/>
  <c r="J527" i="2"/>
  <c r="A527" i="1"/>
  <c r="A527" i="2"/>
  <c r="I527" i="2"/>
  <c r="H527" i="2"/>
  <c r="G527" i="2"/>
  <c r="F527" i="2"/>
  <c r="D527" i="2"/>
  <c r="C527" i="2"/>
  <c r="B527" i="2"/>
  <c r="J526" i="1"/>
  <c r="J526" i="2"/>
  <c r="A526" i="1"/>
  <c r="A526" i="2"/>
  <c r="I526" i="2"/>
  <c r="H526" i="2"/>
  <c r="G526" i="2"/>
  <c r="F526" i="2"/>
  <c r="D526" i="2"/>
  <c r="C526" i="2"/>
  <c r="B526" i="2"/>
  <c r="J525" i="1"/>
  <c r="J525" i="2"/>
  <c r="A525" i="1"/>
  <c r="A525" i="2"/>
  <c r="I525" i="2"/>
  <c r="H525" i="2"/>
  <c r="G525" i="2"/>
  <c r="F525" i="2"/>
  <c r="D525" i="2"/>
  <c r="C525" i="2"/>
  <c r="B525" i="2"/>
  <c r="J524" i="1"/>
  <c r="J524" i="2"/>
  <c r="A524" i="1"/>
  <c r="A524" i="2"/>
  <c r="I524" i="2"/>
  <c r="H524" i="2"/>
  <c r="G524" i="2"/>
  <c r="F524" i="2"/>
  <c r="D524" i="2"/>
  <c r="C524" i="2"/>
  <c r="B524" i="2"/>
  <c r="J523" i="1"/>
  <c r="J523" i="2"/>
  <c r="A523" i="1"/>
  <c r="A523" i="2"/>
  <c r="I523" i="2"/>
  <c r="H523" i="2"/>
  <c r="G523" i="2"/>
  <c r="F523" i="2"/>
  <c r="D523" i="2"/>
  <c r="C523" i="2"/>
  <c r="B523" i="2"/>
  <c r="J522" i="1"/>
  <c r="J522" i="2"/>
  <c r="A522" i="1"/>
  <c r="A522" i="2"/>
  <c r="I522" i="2"/>
  <c r="H522" i="2"/>
  <c r="G522" i="2"/>
  <c r="F522" i="2"/>
  <c r="D522" i="2"/>
  <c r="C522" i="2"/>
  <c r="B522" i="2"/>
  <c r="J521" i="1"/>
  <c r="J521" i="2"/>
  <c r="A521" i="1"/>
  <c r="A521" i="2"/>
  <c r="I521" i="2"/>
  <c r="H521" i="2"/>
  <c r="G521" i="2"/>
  <c r="F521" i="2"/>
  <c r="D521" i="2"/>
  <c r="C521" i="2"/>
  <c r="B521" i="2"/>
  <c r="J520" i="1"/>
  <c r="J520" i="2"/>
  <c r="A520" i="1"/>
  <c r="A520" i="2"/>
  <c r="I520" i="2"/>
  <c r="H520" i="2"/>
  <c r="G520" i="2"/>
  <c r="F520" i="2"/>
  <c r="D520" i="2"/>
  <c r="C520" i="2"/>
  <c r="B520" i="2"/>
  <c r="J519" i="1"/>
  <c r="J519" i="2"/>
  <c r="A519" i="1"/>
  <c r="A519" i="2"/>
  <c r="I519" i="2"/>
  <c r="H519" i="2"/>
  <c r="G519" i="2"/>
  <c r="F519" i="2"/>
  <c r="D519" i="2"/>
  <c r="C519" i="2"/>
  <c r="B519" i="2"/>
  <c r="J518" i="1"/>
  <c r="J518" i="2"/>
  <c r="A518" i="1"/>
  <c r="A518" i="2"/>
  <c r="I518" i="2"/>
  <c r="H518" i="2"/>
  <c r="G518" i="2"/>
  <c r="F518" i="2"/>
  <c r="D518" i="2"/>
  <c r="C518" i="2"/>
  <c r="B518" i="2"/>
  <c r="J517" i="1"/>
  <c r="J517" i="2"/>
  <c r="A517" i="1"/>
  <c r="A517" i="2"/>
  <c r="I517" i="2"/>
  <c r="H517" i="2"/>
  <c r="G517" i="2"/>
  <c r="F517" i="2"/>
  <c r="D517" i="2"/>
  <c r="C517" i="2"/>
  <c r="B517" i="2"/>
  <c r="J516" i="1"/>
  <c r="J516" i="2"/>
  <c r="A516" i="1"/>
  <c r="A516" i="2"/>
  <c r="I516" i="2"/>
  <c r="H516" i="2"/>
  <c r="G516" i="2"/>
  <c r="F516" i="2"/>
  <c r="D516" i="2"/>
  <c r="C516" i="2"/>
  <c r="B516" i="2"/>
  <c r="J515" i="1"/>
  <c r="J515" i="2"/>
  <c r="A515" i="1"/>
  <c r="A515" i="2"/>
  <c r="I515" i="2"/>
  <c r="H515" i="2"/>
  <c r="G515" i="2"/>
  <c r="F515" i="2"/>
  <c r="D515" i="2"/>
  <c r="C515" i="2"/>
  <c r="B515" i="2"/>
  <c r="J514" i="1"/>
  <c r="J514" i="2"/>
  <c r="A514" i="1"/>
  <c r="A514" i="2"/>
  <c r="I514" i="2"/>
  <c r="H514" i="2"/>
  <c r="G514" i="2"/>
  <c r="F514" i="2"/>
  <c r="D514" i="2"/>
  <c r="C514" i="2"/>
  <c r="B514" i="2"/>
  <c r="J513" i="1"/>
  <c r="J513" i="2"/>
  <c r="A513" i="1"/>
  <c r="A513" i="2"/>
  <c r="I513" i="2"/>
  <c r="H513" i="2"/>
  <c r="G513" i="2"/>
  <c r="F513" i="2"/>
  <c r="D513" i="2"/>
  <c r="C513" i="2"/>
  <c r="B513" i="2"/>
  <c r="J512" i="1"/>
  <c r="J512" i="2"/>
  <c r="A512" i="1"/>
  <c r="A512" i="2"/>
  <c r="I512" i="2"/>
  <c r="H512" i="2"/>
  <c r="G512" i="2"/>
  <c r="F512" i="2"/>
  <c r="D512" i="2"/>
  <c r="C512" i="2"/>
  <c r="B512" i="2"/>
  <c r="J511" i="1"/>
  <c r="J511" i="2"/>
  <c r="A511" i="1"/>
  <c r="A511" i="2"/>
  <c r="I511" i="2"/>
  <c r="H511" i="2"/>
  <c r="G511" i="2"/>
  <c r="F511" i="2"/>
  <c r="D511" i="2"/>
  <c r="C511" i="2"/>
  <c r="B511" i="2"/>
  <c r="J510" i="1"/>
  <c r="J510" i="2"/>
  <c r="A510" i="1"/>
  <c r="A510" i="2"/>
  <c r="I510" i="2"/>
  <c r="H510" i="2"/>
  <c r="G510" i="2"/>
  <c r="F510" i="2"/>
  <c r="D510" i="2"/>
  <c r="C510" i="2"/>
  <c r="B510" i="2"/>
  <c r="J509" i="1"/>
  <c r="J509" i="2"/>
  <c r="A509" i="1"/>
  <c r="A509" i="2"/>
  <c r="I509" i="2"/>
  <c r="H509" i="2"/>
  <c r="G509" i="2"/>
  <c r="F509" i="2"/>
  <c r="D509" i="2"/>
  <c r="C509" i="2"/>
  <c r="B509" i="2"/>
  <c r="J508" i="1"/>
  <c r="J508" i="2"/>
  <c r="A508" i="1"/>
  <c r="A508" i="2"/>
  <c r="I508" i="2"/>
  <c r="H508" i="2"/>
  <c r="G508" i="2"/>
  <c r="F508" i="2"/>
  <c r="D508" i="2"/>
  <c r="C508" i="2"/>
  <c r="B508" i="2"/>
  <c r="J507" i="1"/>
  <c r="J507" i="2"/>
  <c r="A507" i="1"/>
  <c r="A507" i="2"/>
  <c r="I507" i="2"/>
  <c r="H507" i="2"/>
  <c r="G507" i="2"/>
  <c r="F507" i="2"/>
  <c r="D507" i="2"/>
  <c r="C507" i="2"/>
  <c r="B507" i="2"/>
  <c r="J506" i="1"/>
  <c r="J506" i="2"/>
  <c r="A506" i="1"/>
  <c r="A506" i="2"/>
  <c r="I506" i="2"/>
  <c r="H506" i="2"/>
  <c r="G506" i="2"/>
  <c r="F506" i="2"/>
  <c r="D506" i="2"/>
  <c r="C506" i="2"/>
  <c r="B506" i="2"/>
  <c r="J505" i="1"/>
  <c r="J505" i="2"/>
  <c r="A505" i="1"/>
  <c r="A505" i="2"/>
  <c r="I505" i="2"/>
  <c r="H505" i="2"/>
  <c r="G505" i="2"/>
  <c r="F505" i="2"/>
  <c r="D505" i="2"/>
  <c r="C505" i="2"/>
  <c r="B505" i="2"/>
  <c r="J504" i="1"/>
  <c r="J504" i="2"/>
  <c r="A504" i="1"/>
  <c r="A504" i="2"/>
  <c r="I504" i="2"/>
  <c r="H504" i="2"/>
  <c r="G504" i="2"/>
  <c r="F504" i="2"/>
  <c r="D504" i="2"/>
  <c r="C504" i="2"/>
  <c r="B504" i="2"/>
  <c r="J503" i="1"/>
  <c r="J503" i="2"/>
  <c r="A503" i="1"/>
  <c r="A503" i="2"/>
  <c r="I503" i="2"/>
  <c r="H503" i="2"/>
  <c r="G503" i="2"/>
  <c r="F503" i="2"/>
  <c r="D503" i="2"/>
  <c r="C503" i="2"/>
  <c r="B503" i="2"/>
  <c r="J502" i="1"/>
  <c r="J502" i="2"/>
  <c r="A502" i="1"/>
  <c r="A502" i="2"/>
  <c r="I502" i="2"/>
  <c r="H502" i="2"/>
  <c r="G502" i="2"/>
  <c r="F502" i="2"/>
  <c r="D502" i="2"/>
  <c r="C502" i="2"/>
  <c r="B502" i="2"/>
  <c r="J501" i="1"/>
  <c r="J501" i="2"/>
  <c r="A501" i="1"/>
  <c r="A501" i="2"/>
  <c r="I501" i="2"/>
  <c r="H501" i="2"/>
  <c r="G501" i="2"/>
  <c r="F501" i="2"/>
  <c r="D501" i="2"/>
  <c r="C501" i="2"/>
  <c r="B501" i="2"/>
  <c r="J500" i="1"/>
  <c r="J500" i="2"/>
  <c r="A500" i="1"/>
  <c r="A500" i="2"/>
  <c r="I500" i="2"/>
  <c r="H500" i="2"/>
  <c r="G500" i="2"/>
  <c r="F500" i="2"/>
  <c r="D500" i="2"/>
  <c r="C500" i="2"/>
  <c r="B500" i="2"/>
  <c r="J499" i="1"/>
  <c r="J499" i="2"/>
  <c r="A499" i="1"/>
  <c r="A499" i="2"/>
  <c r="I499" i="2"/>
  <c r="H499" i="2"/>
  <c r="G499" i="2"/>
  <c r="F499" i="2"/>
  <c r="D499" i="2"/>
  <c r="C499" i="2"/>
  <c r="B499" i="2"/>
  <c r="J498" i="1"/>
  <c r="J498" i="2"/>
  <c r="A498" i="1"/>
  <c r="A498" i="2"/>
  <c r="I498" i="2"/>
  <c r="H498" i="2"/>
  <c r="G498" i="2"/>
  <c r="F498" i="2"/>
  <c r="D498" i="2"/>
  <c r="C498" i="2"/>
  <c r="B498" i="2"/>
  <c r="J497" i="1"/>
  <c r="J497" i="2"/>
  <c r="A497" i="1"/>
  <c r="A497" i="2"/>
  <c r="I497" i="2"/>
  <c r="H497" i="2"/>
  <c r="G497" i="2"/>
  <c r="F497" i="2"/>
  <c r="D497" i="2"/>
  <c r="C497" i="2"/>
  <c r="B497" i="2"/>
  <c r="J496" i="1"/>
  <c r="J496" i="2"/>
  <c r="A496" i="1"/>
  <c r="A496" i="2"/>
  <c r="I496" i="2"/>
  <c r="H496" i="2"/>
  <c r="G496" i="2"/>
  <c r="F496" i="2"/>
  <c r="D496" i="2"/>
  <c r="C496" i="2"/>
  <c r="B496" i="2"/>
  <c r="J495" i="1"/>
  <c r="J495" i="2"/>
  <c r="A495" i="1"/>
  <c r="A495" i="2"/>
  <c r="I495" i="2"/>
  <c r="H495" i="2"/>
  <c r="G495" i="2"/>
  <c r="F495" i="2"/>
  <c r="D495" i="2"/>
  <c r="C495" i="2"/>
  <c r="B495" i="2"/>
  <c r="J494" i="1"/>
  <c r="J494" i="2"/>
  <c r="A494" i="1"/>
  <c r="A494" i="2"/>
  <c r="I494" i="2"/>
  <c r="H494" i="2"/>
  <c r="G494" i="2"/>
  <c r="F494" i="2"/>
  <c r="D494" i="2"/>
  <c r="C494" i="2"/>
  <c r="B494" i="2"/>
  <c r="J493" i="1"/>
  <c r="J493" i="2"/>
  <c r="A493" i="1"/>
  <c r="A493" i="2"/>
  <c r="I493" i="2"/>
  <c r="H493" i="2"/>
  <c r="G493" i="2"/>
  <c r="F493" i="2"/>
  <c r="D493" i="2"/>
  <c r="C493" i="2"/>
  <c r="B493" i="2"/>
  <c r="J492" i="1"/>
  <c r="J492" i="2"/>
  <c r="A492" i="1"/>
  <c r="A492" i="2"/>
  <c r="I492" i="2"/>
  <c r="H492" i="2"/>
  <c r="G492" i="2"/>
  <c r="F492" i="2"/>
  <c r="D492" i="2"/>
  <c r="C492" i="2"/>
  <c r="B492" i="2"/>
  <c r="J491" i="1"/>
  <c r="J491" i="2"/>
  <c r="A491" i="1"/>
  <c r="A491" i="2"/>
  <c r="I491" i="2"/>
  <c r="H491" i="2"/>
  <c r="G491" i="2"/>
  <c r="F491" i="2"/>
  <c r="D491" i="2"/>
  <c r="C491" i="2"/>
  <c r="B491" i="2"/>
  <c r="J490" i="1"/>
  <c r="J490" i="2"/>
  <c r="A490" i="1"/>
  <c r="A490" i="2"/>
  <c r="I490" i="2"/>
  <c r="H490" i="2"/>
  <c r="G490" i="2"/>
  <c r="F490" i="2"/>
  <c r="D490" i="2"/>
  <c r="C490" i="2"/>
  <c r="B490" i="2"/>
  <c r="J489" i="1"/>
  <c r="J489" i="2"/>
  <c r="A489" i="1"/>
  <c r="A489" i="2"/>
  <c r="I489" i="2"/>
  <c r="H489" i="2"/>
  <c r="G489" i="2"/>
  <c r="F489" i="2"/>
  <c r="D489" i="2"/>
  <c r="C489" i="2"/>
  <c r="B489" i="2"/>
  <c r="J488" i="1"/>
  <c r="J488" i="2"/>
  <c r="A488" i="1"/>
  <c r="A488" i="2"/>
  <c r="I488" i="2"/>
  <c r="H488" i="2"/>
  <c r="G488" i="2"/>
  <c r="F488" i="2"/>
  <c r="D488" i="2"/>
  <c r="C488" i="2"/>
  <c r="B488" i="2"/>
  <c r="J487" i="1"/>
  <c r="J487" i="2"/>
  <c r="A487" i="1"/>
  <c r="A487" i="2"/>
  <c r="I487" i="2"/>
  <c r="H487" i="2"/>
  <c r="G487" i="2"/>
  <c r="F487" i="2"/>
  <c r="D487" i="2"/>
  <c r="C487" i="2"/>
  <c r="B487" i="2"/>
  <c r="J486" i="1"/>
  <c r="J486" i="2"/>
  <c r="A486" i="1"/>
  <c r="A486" i="2"/>
  <c r="I486" i="2"/>
  <c r="H486" i="2"/>
  <c r="G486" i="2"/>
  <c r="F486" i="2"/>
  <c r="D486" i="2"/>
  <c r="C486" i="2"/>
  <c r="B486" i="2"/>
  <c r="J485" i="1"/>
  <c r="J485" i="2"/>
  <c r="A485" i="1"/>
  <c r="A485" i="2"/>
  <c r="I485" i="2"/>
  <c r="H485" i="2"/>
  <c r="G485" i="2"/>
  <c r="F485" i="2"/>
  <c r="D485" i="2"/>
  <c r="C485" i="2"/>
  <c r="B485" i="2"/>
  <c r="J484" i="1"/>
  <c r="J484" i="2"/>
  <c r="A484" i="1"/>
  <c r="A484" i="2"/>
  <c r="I484" i="2"/>
  <c r="H484" i="2"/>
  <c r="G484" i="2"/>
  <c r="F484" i="2"/>
  <c r="D484" i="2"/>
  <c r="C484" i="2"/>
  <c r="B484" i="2"/>
  <c r="J483" i="1"/>
  <c r="J483" i="2"/>
  <c r="A483" i="1"/>
  <c r="A483" i="2"/>
  <c r="I483" i="2"/>
  <c r="H483" i="2"/>
  <c r="G483" i="2"/>
  <c r="F483" i="2"/>
  <c r="D483" i="2"/>
  <c r="C483" i="2"/>
  <c r="B483" i="2"/>
  <c r="J482" i="1"/>
  <c r="J482" i="2"/>
  <c r="A482" i="1"/>
  <c r="A482" i="2"/>
  <c r="I482" i="2"/>
  <c r="H482" i="2"/>
  <c r="G482" i="2"/>
  <c r="F482" i="2"/>
  <c r="D482" i="2"/>
  <c r="C482" i="2"/>
  <c r="B482" i="2"/>
  <c r="J481" i="1"/>
  <c r="J481" i="2"/>
  <c r="A481" i="1"/>
  <c r="A481" i="2"/>
  <c r="I481" i="2"/>
  <c r="H481" i="2"/>
  <c r="G481" i="2"/>
  <c r="F481" i="2"/>
  <c r="D481" i="2"/>
  <c r="C481" i="2"/>
  <c r="B481" i="2"/>
  <c r="J480" i="1"/>
  <c r="J480" i="2"/>
  <c r="A480" i="1"/>
  <c r="A480" i="2"/>
  <c r="I480" i="2"/>
  <c r="H480" i="2"/>
  <c r="G480" i="2"/>
  <c r="F480" i="2"/>
  <c r="D480" i="2"/>
  <c r="C480" i="2"/>
  <c r="B480" i="2"/>
  <c r="J479" i="1"/>
  <c r="J479" i="2"/>
  <c r="A479" i="1"/>
  <c r="A479" i="2"/>
  <c r="I479" i="2"/>
  <c r="H479" i="2"/>
  <c r="G479" i="2"/>
  <c r="F479" i="2"/>
  <c r="D479" i="2"/>
  <c r="C479" i="2"/>
  <c r="B479" i="2"/>
  <c r="J478" i="1"/>
  <c r="J478" i="2"/>
  <c r="A478" i="1"/>
  <c r="A478" i="2"/>
  <c r="I478" i="2"/>
  <c r="H478" i="2"/>
  <c r="G478" i="2"/>
  <c r="F478" i="2"/>
  <c r="D478" i="2"/>
  <c r="C478" i="2"/>
  <c r="B478" i="2"/>
  <c r="J477" i="1"/>
  <c r="J477" i="2"/>
  <c r="A477" i="1"/>
  <c r="A477" i="2"/>
  <c r="I477" i="2"/>
  <c r="H477" i="2"/>
  <c r="G477" i="2"/>
  <c r="F477" i="2"/>
  <c r="D477" i="2"/>
  <c r="C477" i="2"/>
  <c r="B477" i="2"/>
  <c r="J476" i="1"/>
  <c r="J476" i="2"/>
  <c r="A476" i="1"/>
  <c r="A476" i="2"/>
  <c r="I476" i="2"/>
  <c r="H476" i="2"/>
  <c r="G476" i="2"/>
  <c r="F476" i="2"/>
  <c r="D476" i="2"/>
  <c r="C476" i="2"/>
  <c r="B476" i="2"/>
  <c r="J475" i="1"/>
  <c r="J475" i="2"/>
  <c r="A475" i="1"/>
  <c r="A475" i="2"/>
  <c r="I475" i="2"/>
  <c r="H475" i="2"/>
  <c r="G475" i="2"/>
  <c r="F475" i="2"/>
  <c r="D475" i="2"/>
  <c r="C475" i="2"/>
  <c r="B475" i="2"/>
  <c r="J474" i="1"/>
  <c r="J474" i="2"/>
  <c r="A474" i="1"/>
  <c r="A474" i="2"/>
  <c r="I474" i="2"/>
  <c r="H474" i="2"/>
  <c r="G474" i="2"/>
  <c r="F474" i="2"/>
  <c r="D474" i="2"/>
  <c r="C474" i="2"/>
  <c r="B474" i="2"/>
  <c r="J473" i="1"/>
  <c r="J473" i="2"/>
  <c r="A473" i="1"/>
  <c r="A473" i="2"/>
  <c r="I473" i="2"/>
  <c r="H473" i="2"/>
  <c r="G473" i="2"/>
  <c r="F473" i="2"/>
  <c r="D473" i="2"/>
  <c r="C473" i="2"/>
  <c r="B473" i="2"/>
  <c r="J472" i="1"/>
  <c r="J472" i="2"/>
  <c r="A472" i="1"/>
  <c r="A472" i="2"/>
  <c r="I472" i="2"/>
  <c r="H472" i="2"/>
  <c r="G472" i="2"/>
  <c r="F472" i="2"/>
  <c r="D472" i="2"/>
  <c r="C472" i="2"/>
  <c r="B472" i="2"/>
  <c r="J471" i="1"/>
  <c r="J471" i="2"/>
  <c r="A471" i="1"/>
  <c r="A471" i="2"/>
  <c r="I471" i="2"/>
  <c r="H471" i="2"/>
  <c r="G471" i="2"/>
  <c r="F471" i="2"/>
  <c r="D471" i="2"/>
  <c r="C471" i="2"/>
  <c r="B471" i="2"/>
  <c r="J470" i="1"/>
  <c r="J470" i="2"/>
  <c r="A470" i="1"/>
  <c r="A470" i="2"/>
  <c r="I470" i="2"/>
  <c r="H470" i="2"/>
  <c r="G470" i="2"/>
  <c r="F470" i="2"/>
  <c r="D470" i="2"/>
  <c r="C470" i="2"/>
  <c r="B470" i="2"/>
  <c r="J469" i="1"/>
  <c r="J469" i="2"/>
  <c r="A469" i="1"/>
  <c r="A469" i="2"/>
  <c r="I469" i="2"/>
  <c r="H469" i="2"/>
  <c r="G469" i="2"/>
  <c r="F469" i="2"/>
  <c r="D469" i="2"/>
  <c r="C469" i="2"/>
  <c r="B469" i="2"/>
  <c r="J468" i="1"/>
  <c r="J468" i="2"/>
  <c r="A468" i="1"/>
  <c r="A468" i="2"/>
  <c r="I468" i="2"/>
  <c r="H468" i="2"/>
  <c r="G468" i="2"/>
  <c r="F468" i="2"/>
  <c r="D468" i="2"/>
  <c r="C468" i="2"/>
  <c r="B468" i="2"/>
  <c r="J467" i="1"/>
  <c r="J467" i="2"/>
  <c r="A467" i="1"/>
  <c r="A467" i="2"/>
  <c r="I467" i="2"/>
  <c r="H467" i="2"/>
  <c r="G467" i="2"/>
  <c r="F467" i="2"/>
  <c r="D467" i="2"/>
  <c r="C467" i="2"/>
  <c r="B467" i="2"/>
  <c r="J466" i="1"/>
  <c r="J466" i="2"/>
  <c r="A466" i="1"/>
  <c r="A466" i="2"/>
  <c r="I466" i="2"/>
  <c r="H466" i="2"/>
  <c r="G466" i="2"/>
  <c r="F466" i="2"/>
  <c r="D466" i="2"/>
  <c r="C466" i="2"/>
  <c r="B466" i="2"/>
  <c r="J465" i="1"/>
  <c r="J465" i="2"/>
  <c r="A465" i="1"/>
  <c r="A465" i="2"/>
  <c r="I465" i="2"/>
  <c r="H465" i="2"/>
  <c r="G465" i="2"/>
  <c r="F465" i="2"/>
  <c r="D465" i="2"/>
  <c r="C465" i="2"/>
  <c r="B465" i="2"/>
  <c r="J464" i="1"/>
  <c r="J464" i="2"/>
  <c r="A464" i="1"/>
  <c r="A464" i="2"/>
  <c r="I464" i="2"/>
  <c r="H464" i="2"/>
  <c r="G464" i="2"/>
  <c r="F464" i="2"/>
  <c r="D464" i="2"/>
  <c r="C464" i="2"/>
  <c r="B464" i="2"/>
  <c r="J463" i="1"/>
  <c r="J463" i="2"/>
  <c r="A463" i="1"/>
  <c r="A463" i="2"/>
  <c r="I463" i="2"/>
  <c r="H463" i="2"/>
  <c r="G463" i="2"/>
  <c r="F463" i="2"/>
  <c r="D463" i="2"/>
  <c r="C463" i="2"/>
  <c r="B463" i="2"/>
  <c r="J462" i="1"/>
  <c r="J462" i="2"/>
  <c r="A462" i="1"/>
  <c r="A462" i="2"/>
  <c r="I462" i="2"/>
  <c r="H462" i="2"/>
  <c r="G462" i="2"/>
  <c r="F462" i="2"/>
  <c r="D462" i="2"/>
  <c r="C462" i="2"/>
  <c r="B462" i="2"/>
  <c r="J461" i="1"/>
  <c r="J461" i="2"/>
  <c r="A461" i="1"/>
  <c r="A461" i="2"/>
  <c r="I461" i="2"/>
  <c r="H461" i="2"/>
  <c r="G461" i="2"/>
  <c r="F461" i="2"/>
  <c r="D461" i="2"/>
  <c r="C461" i="2"/>
  <c r="B461" i="2"/>
  <c r="J460" i="1"/>
  <c r="J460" i="2"/>
  <c r="A460" i="1"/>
  <c r="A460" i="2"/>
  <c r="I460" i="2"/>
  <c r="H460" i="2"/>
  <c r="G460" i="2"/>
  <c r="F460" i="2"/>
  <c r="D460" i="2"/>
  <c r="C460" i="2"/>
  <c r="B460" i="2"/>
  <c r="J459" i="1"/>
  <c r="J459" i="2"/>
  <c r="A459" i="1"/>
  <c r="A459" i="2"/>
  <c r="I459" i="2"/>
  <c r="H459" i="2"/>
  <c r="G459" i="2"/>
  <c r="F459" i="2"/>
  <c r="D459" i="2"/>
  <c r="C459" i="2"/>
  <c r="B459" i="2"/>
  <c r="J458" i="1"/>
  <c r="J458" i="2"/>
  <c r="A458" i="1"/>
  <c r="A458" i="2"/>
  <c r="I458" i="2"/>
  <c r="H458" i="2"/>
  <c r="G458" i="2"/>
  <c r="F458" i="2"/>
  <c r="D458" i="2"/>
  <c r="C458" i="2"/>
  <c r="B458" i="2"/>
  <c r="J457" i="1"/>
  <c r="J457" i="2"/>
  <c r="A457" i="1"/>
  <c r="A457" i="2"/>
  <c r="I457" i="2"/>
  <c r="H457" i="2"/>
  <c r="G457" i="2"/>
  <c r="F457" i="2"/>
  <c r="D457" i="2"/>
  <c r="C457" i="2"/>
  <c r="B457" i="2"/>
  <c r="J456" i="1"/>
  <c r="J456" i="2"/>
  <c r="A456" i="1"/>
  <c r="A456" i="2"/>
  <c r="I456" i="2"/>
  <c r="H456" i="2"/>
  <c r="G456" i="2"/>
  <c r="F456" i="2"/>
  <c r="D456" i="2"/>
  <c r="C456" i="2"/>
  <c r="B456" i="2"/>
  <c r="J455" i="1"/>
  <c r="J455" i="2"/>
  <c r="A455" i="1"/>
  <c r="A455" i="2"/>
  <c r="I455" i="2"/>
  <c r="H455" i="2"/>
  <c r="G455" i="2"/>
  <c r="F455" i="2"/>
  <c r="D455" i="2"/>
  <c r="C455" i="2"/>
  <c r="B455" i="2"/>
  <c r="J454" i="1"/>
  <c r="J454" i="2"/>
  <c r="A454" i="1"/>
  <c r="A454" i="2"/>
  <c r="I454" i="2"/>
  <c r="H454" i="2"/>
  <c r="G454" i="2"/>
  <c r="F454" i="2"/>
  <c r="D454" i="2"/>
  <c r="C454" i="2"/>
  <c r="B454" i="2"/>
  <c r="J453" i="1"/>
  <c r="J453" i="2"/>
  <c r="A453" i="1"/>
  <c r="A453" i="2"/>
  <c r="I453" i="2"/>
  <c r="H453" i="2"/>
  <c r="G453" i="2"/>
  <c r="F453" i="2"/>
  <c r="D453" i="2"/>
  <c r="C453" i="2"/>
  <c r="B453" i="2"/>
  <c r="J452" i="1"/>
  <c r="J452" i="2"/>
  <c r="A452" i="1"/>
  <c r="A452" i="2"/>
  <c r="I452" i="2"/>
  <c r="H452" i="2"/>
  <c r="G452" i="2"/>
  <c r="F452" i="2"/>
  <c r="D452" i="2"/>
  <c r="C452" i="2"/>
  <c r="B452" i="2"/>
  <c r="J451" i="1"/>
  <c r="J451" i="2"/>
  <c r="A451" i="1"/>
  <c r="A451" i="2"/>
  <c r="I451" i="2"/>
  <c r="H451" i="2"/>
  <c r="G451" i="2"/>
  <c r="F451" i="2"/>
  <c r="D451" i="2"/>
  <c r="C451" i="2"/>
  <c r="B451" i="2"/>
  <c r="J450" i="1"/>
  <c r="J450" i="2"/>
  <c r="A450" i="1"/>
  <c r="A450" i="2"/>
  <c r="I450" i="2"/>
  <c r="H450" i="2"/>
  <c r="G450" i="2"/>
  <c r="F450" i="2"/>
  <c r="D450" i="2"/>
  <c r="C450" i="2"/>
  <c r="B450" i="2"/>
  <c r="J449" i="1"/>
  <c r="J449" i="2"/>
  <c r="A449" i="1"/>
  <c r="A449" i="2"/>
  <c r="I449" i="2"/>
  <c r="H449" i="2"/>
  <c r="G449" i="2"/>
  <c r="F449" i="2"/>
  <c r="D449" i="2"/>
  <c r="C449" i="2"/>
  <c r="B449" i="2"/>
  <c r="J448" i="1"/>
  <c r="J448" i="2"/>
  <c r="A448" i="1"/>
  <c r="A448" i="2"/>
  <c r="I448" i="2"/>
  <c r="H448" i="2"/>
  <c r="G448" i="2"/>
  <c r="F448" i="2"/>
  <c r="D448" i="2"/>
  <c r="C448" i="2"/>
  <c r="B448" i="2"/>
  <c r="J447" i="1"/>
  <c r="J447" i="2"/>
  <c r="A447" i="1"/>
  <c r="A447" i="2"/>
  <c r="I447" i="2"/>
  <c r="H447" i="2"/>
  <c r="G447" i="2"/>
  <c r="F447" i="2"/>
  <c r="D447" i="2"/>
  <c r="C447" i="2"/>
  <c r="B447" i="2"/>
  <c r="J446" i="1"/>
  <c r="J446" i="2"/>
  <c r="A446" i="1"/>
  <c r="A446" i="2"/>
  <c r="I446" i="2"/>
  <c r="H446" i="2"/>
  <c r="G446" i="2"/>
  <c r="F446" i="2"/>
  <c r="D446" i="2"/>
  <c r="C446" i="2"/>
  <c r="B446" i="2"/>
  <c r="J445" i="1"/>
  <c r="J445" i="2"/>
  <c r="A445" i="1"/>
  <c r="A445" i="2"/>
  <c r="I445" i="2"/>
  <c r="H445" i="2"/>
  <c r="G445" i="2"/>
  <c r="F445" i="2"/>
  <c r="D445" i="2"/>
  <c r="C445" i="2"/>
  <c r="B445" i="2"/>
  <c r="J444" i="1"/>
  <c r="J444" i="2"/>
  <c r="A444" i="1"/>
  <c r="A444" i="2"/>
  <c r="I444" i="2"/>
  <c r="H444" i="2"/>
  <c r="G444" i="2"/>
  <c r="F444" i="2"/>
  <c r="D444" i="2"/>
  <c r="C444" i="2"/>
  <c r="B444" i="2"/>
  <c r="J443" i="1"/>
  <c r="J443" i="2"/>
  <c r="A443" i="1"/>
  <c r="A443" i="2"/>
  <c r="I443" i="2"/>
  <c r="H443" i="2"/>
  <c r="G443" i="2"/>
  <c r="F443" i="2"/>
  <c r="D443" i="2"/>
  <c r="C443" i="2"/>
  <c r="B443" i="2"/>
  <c r="J442" i="1"/>
  <c r="J442" i="2"/>
  <c r="A442" i="1"/>
  <c r="A442" i="2"/>
  <c r="I442" i="2"/>
  <c r="H442" i="2"/>
  <c r="G442" i="2"/>
  <c r="F442" i="2"/>
  <c r="D442" i="2"/>
  <c r="C442" i="2"/>
  <c r="B442" i="2"/>
  <c r="J441" i="1"/>
  <c r="J441" i="2"/>
  <c r="A441" i="1"/>
  <c r="A441" i="2"/>
  <c r="I441" i="2"/>
  <c r="H441" i="2"/>
  <c r="G441" i="2"/>
  <c r="F441" i="2"/>
  <c r="D441" i="2"/>
  <c r="C441" i="2"/>
  <c r="B441" i="2"/>
  <c r="J440" i="1"/>
  <c r="J440" i="2"/>
  <c r="A440" i="1"/>
  <c r="A440" i="2"/>
  <c r="I440" i="2"/>
  <c r="H440" i="2"/>
  <c r="G440" i="2"/>
  <c r="F440" i="2"/>
  <c r="D440" i="2"/>
  <c r="C440" i="2"/>
  <c r="B440" i="2"/>
  <c r="J439" i="1"/>
  <c r="J439" i="2"/>
  <c r="A439" i="1"/>
  <c r="A439" i="2"/>
  <c r="I439" i="2"/>
  <c r="H439" i="2"/>
  <c r="G439" i="2"/>
  <c r="F439" i="2"/>
  <c r="D439" i="2"/>
  <c r="C439" i="2"/>
  <c r="B439" i="2"/>
  <c r="J438" i="1"/>
  <c r="J438" i="2"/>
  <c r="A438" i="1"/>
  <c r="A438" i="2"/>
  <c r="I438" i="2"/>
  <c r="H438" i="2"/>
  <c r="G438" i="2"/>
  <c r="F438" i="2"/>
  <c r="D438" i="2"/>
  <c r="C438" i="2"/>
  <c r="B438" i="2"/>
  <c r="J437" i="1"/>
  <c r="J437" i="2"/>
  <c r="A437" i="1"/>
  <c r="A437" i="2"/>
  <c r="I437" i="2"/>
  <c r="H437" i="2"/>
  <c r="G437" i="2"/>
  <c r="F437" i="2"/>
  <c r="D437" i="2"/>
  <c r="C437" i="2"/>
  <c r="B437" i="2"/>
  <c r="J436" i="1"/>
  <c r="J436" i="2"/>
  <c r="A436" i="1"/>
  <c r="A436" i="2"/>
  <c r="I436" i="2"/>
  <c r="H436" i="2"/>
  <c r="G436" i="2"/>
  <c r="F436" i="2"/>
  <c r="D436" i="2"/>
  <c r="C436" i="2"/>
  <c r="B436" i="2"/>
  <c r="J435" i="1"/>
  <c r="J435" i="2"/>
  <c r="A435" i="1"/>
  <c r="A435" i="2"/>
  <c r="I435" i="2"/>
  <c r="H435" i="2"/>
  <c r="G435" i="2"/>
  <c r="F435" i="2"/>
  <c r="D435" i="2"/>
  <c r="C435" i="2"/>
  <c r="B435" i="2"/>
  <c r="J434" i="1"/>
  <c r="J434" i="2"/>
  <c r="A434" i="1"/>
  <c r="A434" i="2"/>
  <c r="I434" i="2"/>
  <c r="H434" i="2"/>
  <c r="G434" i="2"/>
  <c r="F434" i="2"/>
  <c r="D434" i="2"/>
  <c r="C434" i="2"/>
  <c r="B434" i="2"/>
  <c r="J433" i="1"/>
  <c r="J433" i="2"/>
  <c r="A433" i="1"/>
  <c r="A433" i="2"/>
  <c r="I433" i="2"/>
  <c r="H433" i="2"/>
  <c r="G433" i="2"/>
  <c r="F433" i="2"/>
  <c r="D433" i="2"/>
  <c r="C433" i="2"/>
  <c r="B433" i="2"/>
  <c r="J432" i="1"/>
  <c r="J432" i="2"/>
  <c r="A432" i="1"/>
  <c r="A432" i="2"/>
  <c r="I432" i="2"/>
  <c r="H432" i="2"/>
  <c r="G432" i="2"/>
  <c r="F432" i="2"/>
  <c r="D432" i="2"/>
  <c r="C432" i="2"/>
  <c r="B432" i="2"/>
  <c r="J431" i="1"/>
  <c r="J431" i="2"/>
  <c r="A431" i="1"/>
  <c r="A431" i="2"/>
  <c r="I431" i="2"/>
  <c r="H431" i="2"/>
  <c r="G431" i="2"/>
  <c r="F431" i="2"/>
  <c r="D431" i="2"/>
  <c r="C431" i="2"/>
  <c r="B431" i="2"/>
  <c r="J430" i="1"/>
  <c r="J430" i="2"/>
  <c r="A430" i="1"/>
  <c r="A430" i="2"/>
  <c r="I430" i="2"/>
  <c r="H430" i="2"/>
  <c r="G430" i="2"/>
  <c r="F430" i="2"/>
  <c r="D430" i="2"/>
  <c r="C430" i="2"/>
  <c r="B430" i="2"/>
  <c r="J429" i="1"/>
  <c r="J429" i="2"/>
  <c r="A429" i="1"/>
  <c r="A429" i="2"/>
  <c r="I429" i="2"/>
  <c r="H429" i="2"/>
  <c r="G429" i="2"/>
  <c r="F429" i="2"/>
  <c r="D429" i="2"/>
  <c r="C429" i="2"/>
  <c r="B429" i="2"/>
  <c r="J428" i="1"/>
  <c r="J428" i="2"/>
  <c r="A428" i="1"/>
  <c r="A428" i="2"/>
  <c r="I428" i="2"/>
  <c r="H428" i="2"/>
  <c r="G428" i="2"/>
  <c r="F428" i="2"/>
  <c r="D428" i="2"/>
  <c r="C428" i="2"/>
  <c r="B428" i="2"/>
  <c r="J427" i="1"/>
  <c r="J427" i="2"/>
  <c r="A427" i="1"/>
  <c r="A427" i="2"/>
  <c r="I427" i="2"/>
  <c r="H427" i="2"/>
  <c r="G427" i="2"/>
  <c r="F427" i="2"/>
  <c r="D427" i="2"/>
  <c r="C427" i="2"/>
  <c r="B427" i="2"/>
  <c r="J426" i="1"/>
  <c r="J426" i="2"/>
  <c r="A426" i="1"/>
  <c r="A426" i="2"/>
  <c r="I426" i="2"/>
  <c r="H426" i="2"/>
  <c r="G426" i="2"/>
  <c r="F426" i="2"/>
  <c r="D426" i="2"/>
  <c r="C426" i="2"/>
  <c r="B426" i="2"/>
  <c r="J425" i="1"/>
  <c r="J425" i="2"/>
  <c r="A425" i="1"/>
  <c r="A425" i="2"/>
  <c r="I425" i="2"/>
  <c r="H425" i="2"/>
  <c r="G425" i="2"/>
  <c r="F425" i="2"/>
  <c r="D425" i="2"/>
  <c r="C425" i="2"/>
  <c r="B425" i="2"/>
  <c r="J424" i="1"/>
  <c r="J424" i="2"/>
  <c r="A424" i="1"/>
  <c r="A424" i="2"/>
  <c r="I424" i="2"/>
  <c r="H424" i="2"/>
  <c r="G424" i="2"/>
  <c r="F424" i="2"/>
  <c r="D424" i="2"/>
  <c r="C424" i="2"/>
  <c r="B424" i="2"/>
  <c r="J423" i="1"/>
  <c r="J423" i="2"/>
  <c r="A423" i="1"/>
  <c r="A423" i="2"/>
  <c r="I423" i="2"/>
  <c r="H423" i="2"/>
  <c r="G423" i="2"/>
  <c r="F423" i="2"/>
  <c r="D423" i="2"/>
  <c r="C423" i="2"/>
  <c r="B423" i="2"/>
  <c r="J422" i="1"/>
  <c r="J422" i="2"/>
  <c r="A422" i="1"/>
  <c r="A422" i="2"/>
  <c r="I422" i="2"/>
  <c r="H422" i="2"/>
  <c r="G422" i="2"/>
  <c r="F422" i="2"/>
  <c r="D422" i="2"/>
  <c r="C422" i="2"/>
  <c r="B422" i="2"/>
  <c r="J421" i="1"/>
  <c r="J421" i="2"/>
  <c r="A421" i="1"/>
  <c r="A421" i="2"/>
  <c r="I421" i="2"/>
  <c r="H421" i="2"/>
  <c r="G421" i="2"/>
  <c r="F421" i="2"/>
  <c r="D421" i="2"/>
  <c r="C421" i="2"/>
  <c r="B421" i="2"/>
  <c r="J420" i="1"/>
  <c r="J420" i="2"/>
  <c r="A420" i="1"/>
  <c r="A420" i="2"/>
  <c r="I420" i="2"/>
  <c r="H420" i="2"/>
  <c r="G420" i="2"/>
  <c r="F420" i="2"/>
  <c r="D420" i="2"/>
  <c r="C420" i="2"/>
  <c r="B420" i="2"/>
  <c r="J419" i="1"/>
  <c r="J419" i="2"/>
  <c r="A419" i="1"/>
  <c r="A419" i="2"/>
  <c r="I419" i="2"/>
  <c r="H419" i="2"/>
  <c r="G419" i="2"/>
  <c r="F419" i="2"/>
  <c r="D419" i="2"/>
  <c r="C419" i="2"/>
  <c r="B419" i="2"/>
  <c r="J418" i="1"/>
  <c r="J418" i="2"/>
  <c r="A418" i="1"/>
  <c r="A418" i="2"/>
  <c r="I418" i="2"/>
  <c r="H418" i="2"/>
  <c r="G418" i="2"/>
  <c r="F418" i="2"/>
  <c r="D418" i="2"/>
  <c r="C418" i="2"/>
  <c r="B418" i="2"/>
  <c r="J417" i="1"/>
  <c r="J417" i="2"/>
  <c r="A417" i="1"/>
  <c r="A417" i="2"/>
  <c r="I417" i="2"/>
  <c r="H417" i="2"/>
  <c r="G417" i="2"/>
  <c r="F417" i="2"/>
  <c r="D417" i="2"/>
  <c r="C417" i="2"/>
  <c r="B417" i="2"/>
  <c r="J416" i="1"/>
  <c r="J416" i="2"/>
  <c r="A416" i="1"/>
  <c r="A416" i="2"/>
  <c r="I416" i="2"/>
  <c r="H416" i="2"/>
  <c r="G416" i="2"/>
  <c r="F416" i="2"/>
  <c r="D416" i="2"/>
  <c r="C416" i="2"/>
  <c r="B416" i="2"/>
  <c r="J415" i="1"/>
  <c r="J415" i="2"/>
  <c r="A415" i="1"/>
  <c r="A415" i="2"/>
  <c r="I415" i="2"/>
  <c r="H415" i="2"/>
  <c r="G415" i="2"/>
  <c r="F415" i="2"/>
  <c r="D415" i="2"/>
  <c r="C415" i="2"/>
  <c r="B415" i="2"/>
  <c r="J414" i="1"/>
  <c r="J414" i="2"/>
  <c r="A414" i="1"/>
  <c r="A414" i="2"/>
  <c r="I414" i="2"/>
  <c r="H414" i="2"/>
  <c r="G414" i="2"/>
  <c r="F414" i="2"/>
  <c r="D414" i="2"/>
  <c r="C414" i="2"/>
  <c r="B414" i="2"/>
  <c r="J413" i="1"/>
  <c r="J413" i="2"/>
  <c r="A413" i="1"/>
  <c r="A413" i="2"/>
  <c r="I413" i="2"/>
  <c r="H413" i="2"/>
  <c r="G413" i="2"/>
  <c r="F413" i="2"/>
  <c r="D413" i="2"/>
  <c r="C413" i="2"/>
  <c r="B413" i="2"/>
  <c r="J412" i="1"/>
  <c r="J412" i="2"/>
  <c r="A412" i="1"/>
  <c r="A412" i="2"/>
  <c r="I412" i="2"/>
  <c r="H412" i="2"/>
  <c r="G412" i="2"/>
  <c r="F412" i="2"/>
  <c r="D412" i="2"/>
  <c r="C412" i="2"/>
  <c r="B412" i="2"/>
  <c r="J411" i="1"/>
  <c r="J411" i="2"/>
  <c r="A411" i="1"/>
  <c r="A411" i="2"/>
  <c r="I411" i="2"/>
  <c r="H411" i="2"/>
  <c r="G411" i="2"/>
  <c r="F411" i="2"/>
  <c r="D411" i="2"/>
  <c r="C411" i="2"/>
  <c r="B411" i="2"/>
  <c r="J410" i="1"/>
  <c r="J410" i="2"/>
  <c r="A410" i="1"/>
  <c r="A410" i="2"/>
  <c r="I410" i="2"/>
  <c r="H410" i="2"/>
  <c r="G410" i="2"/>
  <c r="F410" i="2"/>
  <c r="D410" i="2"/>
  <c r="C410" i="2"/>
  <c r="B410" i="2"/>
  <c r="J409" i="1"/>
  <c r="J409" i="2"/>
  <c r="A409" i="1"/>
  <c r="A409" i="2"/>
  <c r="I409" i="2"/>
  <c r="H409" i="2"/>
  <c r="G409" i="2"/>
  <c r="F409" i="2"/>
  <c r="D409" i="2"/>
  <c r="C409" i="2"/>
  <c r="B409" i="2"/>
  <c r="J408" i="1"/>
  <c r="J408" i="2"/>
  <c r="A408" i="1"/>
  <c r="A408" i="2"/>
  <c r="I408" i="2"/>
  <c r="H408" i="2"/>
  <c r="G408" i="2"/>
  <c r="F408" i="2"/>
  <c r="D408" i="2"/>
  <c r="C408" i="2"/>
  <c r="B408" i="2"/>
  <c r="J407" i="1"/>
  <c r="J407" i="2"/>
  <c r="A407" i="1"/>
  <c r="A407" i="2"/>
  <c r="I407" i="2"/>
  <c r="H407" i="2"/>
  <c r="G407" i="2"/>
  <c r="F407" i="2"/>
  <c r="D407" i="2"/>
  <c r="C407" i="2"/>
  <c r="B407" i="2"/>
  <c r="J406" i="1"/>
  <c r="J406" i="2"/>
  <c r="A406" i="1"/>
  <c r="A406" i="2"/>
  <c r="I406" i="2"/>
  <c r="H406" i="2"/>
  <c r="G406" i="2"/>
  <c r="F406" i="2"/>
  <c r="D406" i="2"/>
  <c r="C406" i="2"/>
  <c r="B406" i="2"/>
  <c r="J405" i="1"/>
  <c r="J405" i="2"/>
  <c r="A405" i="1"/>
  <c r="A405" i="2"/>
  <c r="I405" i="2"/>
  <c r="H405" i="2"/>
  <c r="G405" i="2"/>
  <c r="F405" i="2"/>
  <c r="D405" i="2"/>
  <c r="C405" i="2"/>
  <c r="B405" i="2"/>
  <c r="J404" i="1"/>
  <c r="J404" i="2"/>
  <c r="A404" i="1"/>
  <c r="A404" i="2"/>
  <c r="I404" i="2"/>
  <c r="H404" i="2"/>
  <c r="G404" i="2"/>
  <c r="F404" i="2"/>
  <c r="D404" i="2"/>
  <c r="C404" i="2"/>
  <c r="B404" i="2"/>
  <c r="J403" i="1"/>
  <c r="J403" i="2"/>
  <c r="A403" i="1"/>
  <c r="A403" i="2"/>
  <c r="I403" i="2"/>
  <c r="H403" i="2"/>
  <c r="G403" i="2"/>
  <c r="F403" i="2"/>
  <c r="D403" i="2"/>
  <c r="C403" i="2"/>
  <c r="B403" i="2"/>
  <c r="J402" i="1"/>
  <c r="J402" i="2"/>
  <c r="A402" i="1"/>
  <c r="A402" i="2"/>
  <c r="I402" i="2"/>
  <c r="H402" i="2"/>
  <c r="G402" i="2"/>
  <c r="F402" i="2"/>
  <c r="D402" i="2"/>
  <c r="C402" i="2"/>
  <c r="B402" i="2"/>
  <c r="J401" i="1"/>
  <c r="J401" i="2"/>
  <c r="A401" i="1"/>
  <c r="A401" i="2"/>
  <c r="I401" i="2"/>
  <c r="H401" i="2"/>
  <c r="G401" i="2"/>
  <c r="F401" i="2"/>
  <c r="D401" i="2"/>
  <c r="C401" i="2"/>
  <c r="B401" i="2"/>
  <c r="J400" i="1"/>
  <c r="J400" i="2"/>
  <c r="A400" i="1"/>
  <c r="A400" i="2"/>
  <c r="I400" i="2"/>
  <c r="H400" i="2"/>
  <c r="G400" i="2"/>
  <c r="F400" i="2"/>
  <c r="D400" i="2"/>
  <c r="C400" i="2"/>
  <c r="B400" i="2"/>
  <c r="J399" i="1"/>
  <c r="J399" i="2"/>
  <c r="A399" i="1"/>
  <c r="A399" i="2"/>
  <c r="I399" i="2"/>
  <c r="H399" i="2"/>
  <c r="G399" i="2"/>
  <c r="F399" i="2"/>
  <c r="D399" i="2"/>
  <c r="C399" i="2"/>
  <c r="B399" i="2"/>
  <c r="J398" i="1"/>
  <c r="J398" i="2"/>
  <c r="A398" i="1"/>
  <c r="A398" i="2"/>
  <c r="I398" i="2"/>
  <c r="H398" i="2"/>
  <c r="G398" i="2"/>
  <c r="F398" i="2"/>
  <c r="D398" i="2"/>
  <c r="C398" i="2"/>
  <c r="B398" i="2"/>
  <c r="J397" i="1"/>
  <c r="J397" i="2"/>
  <c r="A397" i="1"/>
  <c r="A397" i="2"/>
  <c r="I397" i="2"/>
  <c r="H397" i="2"/>
  <c r="G397" i="2"/>
  <c r="F397" i="2"/>
  <c r="D397" i="2"/>
  <c r="C397" i="2"/>
  <c r="B397" i="2"/>
  <c r="J396" i="1"/>
  <c r="J396" i="2"/>
  <c r="A396" i="1"/>
  <c r="A396" i="2"/>
  <c r="I396" i="2"/>
  <c r="H396" i="2"/>
  <c r="G396" i="2"/>
  <c r="F396" i="2"/>
  <c r="D396" i="2"/>
  <c r="C396" i="2"/>
  <c r="B396" i="2"/>
  <c r="J395" i="1"/>
  <c r="J395" i="2"/>
  <c r="A395" i="1"/>
  <c r="A395" i="2"/>
  <c r="I395" i="2"/>
  <c r="H395" i="2"/>
  <c r="G395" i="2"/>
  <c r="F395" i="2"/>
  <c r="D395" i="2"/>
  <c r="C395" i="2"/>
  <c r="B395" i="2"/>
  <c r="J394" i="1"/>
  <c r="J394" i="2"/>
  <c r="A394" i="1"/>
  <c r="A394" i="2"/>
  <c r="I394" i="2"/>
  <c r="H394" i="2"/>
  <c r="G394" i="2"/>
  <c r="F394" i="2"/>
  <c r="D394" i="2"/>
  <c r="C394" i="2"/>
  <c r="B394" i="2"/>
  <c r="J393" i="1"/>
  <c r="J393" i="2"/>
  <c r="A393" i="1"/>
  <c r="A393" i="2"/>
  <c r="I393" i="2"/>
  <c r="H393" i="2"/>
  <c r="G393" i="2"/>
  <c r="F393" i="2"/>
  <c r="D393" i="2"/>
  <c r="C393" i="2"/>
  <c r="B393" i="2"/>
  <c r="J392" i="1"/>
  <c r="J392" i="2"/>
  <c r="A392" i="1"/>
  <c r="A392" i="2"/>
  <c r="I392" i="2"/>
  <c r="H392" i="2"/>
  <c r="G392" i="2"/>
  <c r="F392" i="2"/>
  <c r="D392" i="2"/>
  <c r="C392" i="2"/>
  <c r="B392" i="2"/>
  <c r="J391" i="1"/>
  <c r="J391" i="2"/>
  <c r="A391" i="1"/>
  <c r="A391" i="2"/>
  <c r="I391" i="2"/>
  <c r="H391" i="2"/>
  <c r="G391" i="2"/>
  <c r="F391" i="2"/>
  <c r="D391" i="2"/>
  <c r="C391" i="2"/>
  <c r="B391" i="2"/>
  <c r="J390" i="1"/>
  <c r="J390" i="2"/>
  <c r="A390" i="1"/>
  <c r="A390" i="2"/>
  <c r="I390" i="2"/>
  <c r="H390" i="2"/>
  <c r="G390" i="2"/>
  <c r="F390" i="2"/>
  <c r="D390" i="2"/>
  <c r="C390" i="2"/>
  <c r="B390" i="2"/>
  <c r="J389" i="1"/>
  <c r="J389" i="2"/>
  <c r="A389" i="1"/>
  <c r="A389" i="2"/>
  <c r="I389" i="2"/>
  <c r="H389" i="2"/>
  <c r="G389" i="2"/>
  <c r="F389" i="2"/>
  <c r="D389" i="2"/>
  <c r="C389" i="2"/>
  <c r="B389" i="2"/>
  <c r="J388" i="1"/>
  <c r="J388" i="2"/>
  <c r="A388" i="1"/>
  <c r="A388" i="2"/>
  <c r="I388" i="2"/>
  <c r="H388" i="2"/>
  <c r="G388" i="2"/>
  <c r="F388" i="2"/>
  <c r="D388" i="2"/>
  <c r="C388" i="2"/>
  <c r="B388" i="2"/>
  <c r="J387" i="1"/>
  <c r="J387" i="2"/>
  <c r="A387" i="1"/>
  <c r="A387" i="2"/>
  <c r="I387" i="2"/>
  <c r="H387" i="2"/>
  <c r="G387" i="2"/>
  <c r="F387" i="2"/>
  <c r="D387" i="2"/>
  <c r="C387" i="2"/>
  <c r="B387" i="2"/>
  <c r="J386" i="1"/>
  <c r="J386" i="2"/>
  <c r="A386" i="1"/>
  <c r="A386" i="2"/>
  <c r="I386" i="2"/>
  <c r="H386" i="2"/>
  <c r="G386" i="2"/>
  <c r="F386" i="2"/>
  <c r="D386" i="2"/>
  <c r="C386" i="2"/>
  <c r="B386" i="2"/>
  <c r="J385" i="1"/>
  <c r="J385" i="2"/>
  <c r="A385" i="1"/>
  <c r="A385" i="2"/>
  <c r="I385" i="2"/>
  <c r="H385" i="2"/>
  <c r="G385" i="2"/>
  <c r="F385" i="2"/>
  <c r="D385" i="2"/>
  <c r="C385" i="2"/>
  <c r="B385" i="2"/>
  <c r="J384" i="1"/>
  <c r="J384" i="2"/>
  <c r="A384" i="1"/>
  <c r="A384" i="2"/>
  <c r="I384" i="2"/>
  <c r="H384" i="2"/>
  <c r="G384" i="2"/>
  <c r="F384" i="2"/>
  <c r="D384" i="2"/>
  <c r="C384" i="2"/>
  <c r="B384" i="2"/>
  <c r="J383" i="1"/>
  <c r="J383" i="2"/>
  <c r="A383" i="1"/>
  <c r="A383" i="2"/>
  <c r="I383" i="2"/>
  <c r="H383" i="2"/>
  <c r="G383" i="2"/>
  <c r="F383" i="2"/>
  <c r="D383" i="2"/>
  <c r="C383" i="2"/>
  <c r="B383" i="2"/>
  <c r="J382" i="1"/>
  <c r="J382" i="2"/>
  <c r="A382" i="1"/>
  <c r="A382" i="2"/>
  <c r="I382" i="2"/>
  <c r="H382" i="2"/>
  <c r="G382" i="2"/>
  <c r="F382" i="2"/>
  <c r="D382" i="2"/>
  <c r="C382" i="2"/>
  <c r="B382" i="2"/>
  <c r="J381" i="1"/>
  <c r="J381" i="2"/>
  <c r="A381" i="1"/>
  <c r="A381" i="2"/>
  <c r="I381" i="2"/>
  <c r="H381" i="2"/>
  <c r="G381" i="2"/>
  <c r="F381" i="2"/>
  <c r="D381" i="2"/>
  <c r="C381" i="2"/>
  <c r="B381" i="2"/>
  <c r="J380" i="1"/>
  <c r="J380" i="2"/>
  <c r="A380" i="1"/>
  <c r="A380" i="2"/>
  <c r="I380" i="2"/>
  <c r="H380" i="2"/>
  <c r="G380" i="2"/>
  <c r="F380" i="2"/>
  <c r="D380" i="2"/>
  <c r="C380" i="2"/>
  <c r="B380" i="2"/>
  <c r="J379" i="1"/>
  <c r="J379" i="2"/>
  <c r="A379" i="1"/>
  <c r="A379" i="2"/>
  <c r="I379" i="2"/>
  <c r="H379" i="2"/>
  <c r="G379" i="2"/>
  <c r="F379" i="2"/>
  <c r="D379" i="2"/>
  <c r="C379" i="2"/>
  <c r="B379" i="2"/>
  <c r="J378" i="1"/>
  <c r="J378" i="2"/>
  <c r="A378" i="1"/>
  <c r="A378" i="2"/>
  <c r="I378" i="2"/>
  <c r="H378" i="2"/>
  <c r="G378" i="2"/>
  <c r="F378" i="2"/>
  <c r="D378" i="2"/>
  <c r="C378" i="2"/>
  <c r="B378" i="2"/>
  <c r="J377" i="1"/>
  <c r="J377" i="2"/>
  <c r="A377" i="1"/>
  <c r="A377" i="2"/>
  <c r="I377" i="2"/>
  <c r="H377" i="2"/>
  <c r="G377" i="2"/>
  <c r="F377" i="2"/>
  <c r="D377" i="2"/>
  <c r="C377" i="2"/>
  <c r="B377" i="2"/>
  <c r="J376" i="1"/>
  <c r="J376" i="2"/>
  <c r="A376" i="1"/>
  <c r="A376" i="2"/>
  <c r="I376" i="2"/>
  <c r="H376" i="2"/>
  <c r="G376" i="2"/>
  <c r="F376" i="2"/>
  <c r="D376" i="2"/>
  <c r="C376" i="2"/>
  <c r="B376" i="2"/>
  <c r="J375" i="1"/>
  <c r="J375" i="2"/>
  <c r="A375" i="1"/>
  <c r="A375" i="2"/>
  <c r="I375" i="2"/>
  <c r="H375" i="2"/>
  <c r="G375" i="2"/>
  <c r="F375" i="2"/>
  <c r="D375" i="2"/>
  <c r="C375" i="2"/>
  <c r="B375" i="2"/>
  <c r="J374" i="1"/>
  <c r="J374" i="2"/>
  <c r="A374" i="1"/>
  <c r="A374" i="2"/>
  <c r="I374" i="2"/>
  <c r="H374" i="2"/>
  <c r="G374" i="2"/>
  <c r="F374" i="2"/>
  <c r="D374" i="2"/>
  <c r="C374" i="2"/>
  <c r="B374" i="2"/>
  <c r="J373" i="1"/>
  <c r="J373" i="2"/>
  <c r="A373" i="1"/>
  <c r="A373" i="2"/>
  <c r="I373" i="2"/>
  <c r="H373" i="2"/>
  <c r="G373" i="2"/>
  <c r="F373" i="2"/>
  <c r="D373" i="2"/>
  <c r="C373" i="2"/>
  <c r="B373" i="2"/>
  <c r="J372" i="1"/>
  <c r="J372" i="2"/>
  <c r="A372" i="1"/>
  <c r="A372" i="2"/>
  <c r="I372" i="2"/>
  <c r="H372" i="2"/>
  <c r="G372" i="2"/>
  <c r="F372" i="2"/>
  <c r="D372" i="2"/>
  <c r="C372" i="2"/>
  <c r="B372" i="2"/>
  <c r="J371" i="1"/>
  <c r="J371" i="2"/>
  <c r="A371" i="1"/>
  <c r="A371" i="2"/>
  <c r="I371" i="2"/>
  <c r="H371" i="2"/>
  <c r="G371" i="2"/>
  <c r="F371" i="2"/>
  <c r="D371" i="2"/>
  <c r="C371" i="2"/>
  <c r="B371" i="2"/>
  <c r="J370" i="1"/>
  <c r="J370" i="2"/>
  <c r="A370" i="1"/>
  <c r="A370" i="2"/>
  <c r="I370" i="2"/>
  <c r="H370" i="2"/>
  <c r="G370" i="2"/>
  <c r="F370" i="2"/>
  <c r="D370" i="2"/>
  <c r="C370" i="2"/>
  <c r="B370" i="2"/>
  <c r="J369" i="1"/>
  <c r="J369" i="2"/>
  <c r="A369" i="1"/>
  <c r="A369" i="2"/>
  <c r="I369" i="2"/>
  <c r="H369" i="2"/>
  <c r="G369" i="2"/>
  <c r="F369" i="2"/>
  <c r="D369" i="2"/>
  <c r="C369" i="2"/>
  <c r="B369" i="2"/>
  <c r="J368" i="1"/>
  <c r="J368" i="2"/>
  <c r="A368" i="1"/>
  <c r="A368" i="2"/>
  <c r="I368" i="2"/>
  <c r="H368" i="2"/>
  <c r="G368" i="2"/>
  <c r="F368" i="2"/>
  <c r="D368" i="2"/>
  <c r="C368" i="2"/>
  <c r="B368" i="2"/>
  <c r="J367" i="1"/>
  <c r="J367" i="2"/>
  <c r="A367" i="1"/>
  <c r="A367" i="2"/>
  <c r="I367" i="2"/>
  <c r="H367" i="2"/>
  <c r="G367" i="2"/>
  <c r="F367" i="2"/>
  <c r="D367" i="2"/>
  <c r="C367" i="2"/>
  <c r="B367" i="2"/>
  <c r="J366" i="1"/>
  <c r="J366" i="2"/>
  <c r="A366" i="1"/>
  <c r="A366" i="2"/>
  <c r="I366" i="2"/>
  <c r="H366" i="2"/>
  <c r="G366" i="2"/>
  <c r="F366" i="2"/>
  <c r="D366" i="2"/>
  <c r="C366" i="2"/>
  <c r="B366" i="2"/>
  <c r="J365" i="1"/>
  <c r="J365" i="2"/>
  <c r="A365" i="1"/>
  <c r="A365" i="2"/>
  <c r="I365" i="2"/>
  <c r="H365" i="2"/>
  <c r="G365" i="2"/>
  <c r="F365" i="2"/>
  <c r="D365" i="2"/>
  <c r="C365" i="2"/>
  <c r="B365" i="2"/>
  <c r="J364" i="1"/>
  <c r="J364" i="2"/>
  <c r="A364" i="1"/>
  <c r="A364" i="2"/>
  <c r="I364" i="2"/>
  <c r="H364" i="2"/>
  <c r="G364" i="2"/>
  <c r="F364" i="2"/>
  <c r="D364" i="2"/>
  <c r="C364" i="2"/>
  <c r="B364" i="2"/>
  <c r="J363" i="1"/>
  <c r="J363" i="2"/>
  <c r="A363" i="1"/>
  <c r="A363" i="2"/>
  <c r="I363" i="2"/>
  <c r="H363" i="2"/>
  <c r="G363" i="2"/>
  <c r="F363" i="2"/>
  <c r="D363" i="2"/>
  <c r="C363" i="2"/>
  <c r="B363" i="2"/>
  <c r="J362" i="1"/>
  <c r="J362" i="2"/>
  <c r="A362" i="1"/>
  <c r="A362" i="2"/>
  <c r="I362" i="2"/>
  <c r="H362" i="2"/>
  <c r="G362" i="2"/>
  <c r="F362" i="2"/>
  <c r="D362" i="2"/>
  <c r="C362" i="2"/>
  <c r="B362" i="2"/>
  <c r="J361" i="1"/>
  <c r="J361" i="2"/>
  <c r="A361" i="1"/>
  <c r="A361" i="2"/>
  <c r="I361" i="2"/>
  <c r="H361" i="2"/>
  <c r="G361" i="2"/>
  <c r="F361" i="2"/>
  <c r="D361" i="2"/>
  <c r="C361" i="2"/>
  <c r="B361" i="2"/>
  <c r="J360" i="1"/>
  <c r="J360" i="2"/>
  <c r="A360" i="1"/>
  <c r="A360" i="2"/>
  <c r="I360" i="2"/>
  <c r="H360" i="2"/>
  <c r="G360" i="2"/>
  <c r="F360" i="2"/>
  <c r="D360" i="2"/>
  <c r="C360" i="2"/>
  <c r="B360" i="2"/>
  <c r="J359" i="1"/>
  <c r="J359" i="2"/>
  <c r="A359" i="1"/>
  <c r="A359" i="2"/>
  <c r="I359" i="2"/>
  <c r="H359" i="2"/>
  <c r="G359" i="2"/>
  <c r="F359" i="2"/>
  <c r="D359" i="2"/>
  <c r="C359" i="2"/>
  <c r="B359" i="2"/>
  <c r="J358" i="1"/>
  <c r="J358" i="2"/>
  <c r="A358" i="1"/>
  <c r="A358" i="2"/>
  <c r="I358" i="2"/>
  <c r="H358" i="2"/>
  <c r="G358" i="2"/>
  <c r="F358" i="2"/>
  <c r="D358" i="2"/>
  <c r="C358" i="2"/>
  <c r="B358" i="2"/>
  <c r="J357" i="1"/>
  <c r="J357" i="2"/>
  <c r="A357" i="1"/>
  <c r="A357" i="2"/>
  <c r="I357" i="2"/>
  <c r="H357" i="2"/>
  <c r="G357" i="2"/>
  <c r="F357" i="2"/>
  <c r="D357" i="2"/>
  <c r="C357" i="2"/>
  <c r="B357" i="2"/>
  <c r="J356" i="1"/>
  <c r="J356" i="2"/>
  <c r="A356" i="1"/>
  <c r="A356" i="2"/>
  <c r="I356" i="2"/>
  <c r="H356" i="2"/>
  <c r="G356" i="2"/>
  <c r="F356" i="2"/>
  <c r="D356" i="2"/>
  <c r="C356" i="2"/>
  <c r="B356" i="2"/>
  <c r="J355" i="1"/>
  <c r="J355" i="2"/>
  <c r="A355" i="1"/>
  <c r="A355" i="2"/>
  <c r="I355" i="2"/>
  <c r="H355" i="2"/>
  <c r="G355" i="2"/>
  <c r="F355" i="2"/>
  <c r="D355" i="2"/>
  <c r="C355" i="2"/>
  <c r="B355" i="2"/>
  <c r="J354" i="1"/>
  <c r="J354" i="2"/>
  <c r="A354" i="1"/>
  <c r="A354" i="2"/>
  <c r="I354" i="2"/>
  <c r="H354" i="2"/>
  <c r="G354" i="2"/>
  <c r="F354" i="2"/>
  <c r="D354" i="2"/>
  <c r="C354" i="2"/>
  <c r="B354" i="2"/>
  <c r="J353" i="1"/>
  <c r="J353" i="2"/>
  <c r="A353" i="1"/>
  <c r="A353" i="2"/>
  <c r="I353" i="2"/>
  <c r="H353" i="2"/>
  <c r="G353" i="2"/>
  <c r="F353" i="2"/>
  <c r="D353" i="2"/>
  <c r="C353" i="2"/>
  <c r="B353" i="2"/>
  <c r="J352" i="1"/>
  <c r="J352" i="2"/>
  <c r="A352" i="1"/>
  <c r="A352" i="2"/>
  <c r="I352" i="2"/>
  <c r="H352" i="2"/>
  <c r="G352" i="2"/>
  <c r="F352" i="2"/>
  <c r="D352" i="2"/>
  <c r="C352" i="2"/>
  <c r="B352" i="2"/>
  <c r="J351" i="1"/>
  <c r="J351" i="2"/>
  <c r="A351" i="1"/>
  <c r="A351" i="2"/>
  <c r="I351" i="2"/>
  <c r="H351" i="2"/>
  <c r="G351" i="2"/>
  <c r="F351" i="2"/>
  <c r="D351" i="2"/>
  <c r="C351" i="2"/>
  <c r="B351" i="2"/>
  <c r="J350" i="1"/>
  <c r="J350" i="2"/>
  <c r="A350" i="1"/>
  <c r="A350" i="2"/>
  <c r="I350" i="2"/>
  <c r="H350" i="2"/>
  <c r="G350" i="2"/>
  <c r="F350" i="2"/>
  <c r="D350" i="2"/>
  <c r="C350" i="2"/>
  <c r="B350" i="2"/>
  <c r="J349" i="1"/>
  <c r="J349" i="2"/>
  <c r="A349" i="1"/>
  <c r="A349" i="2"/>
  <c r="I349" i="2"/>
  <c r="H349" i="2"/>
  <c r="G349" i="2"/>
  <c r="F349" i="2"/>
  <c r="D349" i="2"/>
  <c r="C349" i="2"/>
  <c r="B349" i="2"/>
  <c r="J348" i="1"/>
  <c r="J348" i="2"/>
  <c r="A348" i="1"/>
  <c r="A348" i="2"/>
  <c r="I348" i="2"/>
  <c r="H348" i="2"/>
  <c r="G348" i="2"/>
  <c r="F348" i="2"/>
  <c r="D348" i="2"/>
  <c r="C348" i="2"/>
  <c r="B348" i="2"/>
  <c r="J347" i="1"/>
  <c r="J347" i="2"/>
  <c r="A347" i="1"/>
  <c r="A347" i="2"/>
  <c r="I347" i="2"/>
  <c r="H347" i="2"/>
  <c r="G347" i="2"/>
  <c r="F347" i="2"/>
  <c r="D347" i="2"/>
  <c r="C347" i="2"/>
  <c r="B347" i="2"/>
  <c r="J346" i="1"/>
  <c r="J346" i="2"/>
  <c r="A346" i="1"/>
  <c r="A346" i="2"/>
  <c r="I346" i="2"/>
  <c r="H346" i="2"/>
  <c r="G346" i="2"/>
  <c r="F346" i="2"/>
  <c r="D346" i="2"/>
  <c r="C346" i="2"/>
  <c r="B346" i="2"/>
  <c r="J345" i="1"/>
  <c r="J345" i="2"/>
  <c r="A345" i="1"/>
  <c r="A345" i="2"/>
  <c r="I345" i="2"/>
  <c r="H345" i="2"/>
  <c r="G345" i="2"/>
  <c r="F345" i="2"/>
  <c r="D345" i="2"/>
  <c r="C345" i="2"/>
  <c r="B345" i="2"/>
  <c r="J344" i="1"/>
  <c r="J344" i="2"/>
  <c r="A344" i="1"/>
  <c r="A344" i="2"/>
  <c r="I344" i="2"/>
  <c r="H344" i="2"/>
  <c r="G344" i="2"/>
  <c r="F344" i="2"/>
  <c r="D344" i="2"/>
  <c r="C344" i="2"/>
  <c r="B344" i="2"/>
  <c r="J343" i="1"/>
  <c r="J343" i="2"/>
  <c r="A343" i="1"/>
  <c r="A343" i="2"/>
  <c r="I343" i="2"/>
  <c r="H343" i="2"/>
  <c r="G343" i="2"/>
  <c r="F343" i="2"/>
  <c r="D343" i="2"/>
  <c r="C343" i="2"/>
  <c r="B343" i="2"/>
  <c r="J342" i="1"/>
  <c r="J342" i="2"/>
  <c r="A342" i="1"/>
  <c r="A342" i="2"/>
  <c r="I342" i="2"/>
  <c r="H342" i="2"/>
  <c r="G342" i="2"/>
  <c r="F342" i="2"/>
  <c r="D342" i="2"/>
  <c r="C342" i="2"/>
  <c r="B342" i="2"/>
  <c r="J341" i="1"/>
  <c r="J341" i="2"/>
  <c r="A341" i="1"/>
  <c r="A341" i="2"/>
  <c r="I341" i="2"/>
  <c r="H341" i="2"/>
  <c r="G341" i="2"/>
  <c r="F341" i="2"/>
  <c r="D341" i="2"/>
  <c r="C341" i="2"/>
  <c r="B341" i="2"/>
  <c r="J340" i="1"/>
  <c r="J340" i="2"/>
  <c r="A340" i="1"/>
  <c r="A340" i="2"/>
  <c r="I340" i="2"/>
  <c r="H340" i="2"/>
  <c r="G340" i="2"/>
  <c r="F340" i="2"/>
  <c r="D340" i="2"/>
  <c r="C340" i="2"/>
  <c r="B340" i="2"/>
  <c r="J339" i="1"/>
  <c r="J339" i="2"/>
  <c r="A339" i="1"/>
  <c r="A339" i="2"/>
  <c r="I339" i="2"/>
  <c r="H339" i="2"/>
  <c r="G339" i="2"/>
  <c r="F339" i="2"/>
  <c r="D339" i="2"/>
  <c r="C339" i="2"/>
  <c r="B339" i="2"/>
  <c r="J338" i="1"/>
  <c r="J338" i="2"/>
  <c r="A338" i="1"/>
  <c r="A338" i="2"/>
  <c r="I338" i="2"/>
  <c r="H338" i="2"/>
  <c r="G338" i="2"/>
  <c r="F338" i="2"/>
  <c r="D338" i="2"/>
  <c r="C338" i="2"/>
  <c r="B338" i="2"/>
  <c r="J337" i="1"/>
  <c r="J337" i="2"/>
  <c r="A337" i="1"/>
  <c r="A337" i="2"/>
  <c r="I337" i="2"/>
  <c r="H337" i="2"/>
  <c r="G337" i="2"/>
  <c r="F337" i="2"/>
  <c r="D337" i="2"/>
  <c r="C337" i="2"/>
  <c r="B337" i="2"/>
  <c r="J336" i="1"/>
  <c r="J336" i="2"/>
  <c r="A336" i="1"/>
  <c r="A336" i="2"/>
  <c r="I336" i="2"/>
  <c r="H336" i="2"/>
  <c r="G336" i="2"/>
  <c r="F336" i="2"/>
  <c r="D336" i="2"/>
  <c r="C336" i="2"/>
  <c r="B336" i="2"/>
  <c r="J335" i="1"/>
  <c r="J335" i="2"/>
  <c r="A335" i="1"/>
  <c r="A335" i="2"/>
  <c r="I335" i="2"/>
  <c r="H335" i="2"/>
  <c r="G335" i="2"/>
  <c r="F335" i="2"/>
  <c r="D335" i="2"/>
  <c r="C335" i="2"/>
  <c r="B335" i="2"/>
  <c r="J334" i="1"/>
  <c r="J334" i="2"/>
  <c r="A334" i="1"/>
  <c r="A334" i="2"/>
  <c r="I334" i="2"/>
  <c r="H334" i="2"/>
  <c r="G334" i="2"/>
  <c r="F334" i="2"/>
  <c r="D334" i="2"/>
  <c r="C334" i="2"/>
  <c r="B334" i="2"/>
  <c r="J333" i="1"/>
  <c r="J333" i="2"/>
  <c r="A333" i="1"/>
  <c r="A333" i="2"/>
  <c r="I333" i="2"/>
  <c r="H333" i="2"/>
  <c r="G333" i="2"/>
  <c r="F333" i="2"/>
  <c r="D333" i="2"/>
  <c r="C333" i="2"/>
  <c r="B333" i="2"/>
  <c r="J332" i="1"/>
  <c r="J332" i="2"/>
  <c r="A332" i="1"/>
  <c r="A332" i="2"/>
  <c r="I332" i="2"/>
  <c r="H332" i="2"/>
  <c r="G332" i="2"/>
  <c r="F332" i="2"/>
  <c r="D332" i="2"/>
  <c r="C332" i="2"/>
  <c r="B332" i="2"/>
  <c r="J331" i="1"/>
  <c r="J331" i="2"/>
  <c r="A331" i="1"/>
  <c r="A331" i="2"/>
  <c r="I331" i="2"/>
  <c r="H331" i="2"/>
  <c r="G331" i="2"/>
  <c r="F331" i="2"/>
  <c r="D331" i="2"/>
  <c r="C331" i="2"/>
  <c r="B331" i="2"/>
  <c r="J330" i="1"/>
  <c r="J330" i="2"/>
  <c r="A330" i="1"/>
  <c r="A330" i="2"/>
  <c r="I330" i="2"/>
  <c r="H330" i="2"/>
  <c r="G330" i="2"/>
  <c r="F330" i="2"/>
  <c r="D330" i="2"/>
  <c r="C330" i="2"/>
  <c r="B330" i="2"/>
  <c r="J329" i="1"/>
  <c r="J329" i="2"/>
  <c r="A329" i="1"/>
  <c r="A329" i="2"/>
  <c r="I329" i="2"/>
  <c r="H329" i="2"/>
  <c r="G329" i="2"/>
  <c r="F329" i="2"/>
  <c r="D329" i="2"/>
  <c r="C329" i="2"/>
  <c r="B329" i="2"/>
  <c r="J328" i="1"/>
  <c r="J328" i="2"/>
  <c r="A328" i="1"/>
  <c r="A328" i="2"/>
  <c r="I328" i="2"/>
  <c r="H328" i="2"/>
  <c r="G328" i="2"/>
  <c r="F328" i="2"/>
  <c r="D328" i="2"/>
  <c r="C328" i="2"/>
  <c r="B328" i="2"/>
  <c r="J327" i="1"/>
  <c r="J327" i="2"/>
  <c r="A327" i="1"/>
  <c r="A327" i="2"/>
  <c r="I327" i="2"/>
  <c r="H327" i="2"/>
  <c r="G327" i="2"/>
  <c r="F327" i="2"/>
  <c r="D327" i="2"/>
  <c r="C327" i="2"/>
  <c r="B327" i="2"/>
  <c r="J326" i="1"/>
  <c r="J326" i="2"/>
  <c r="A326" i="1"/>
  <c r="A326" i="2"/>
  <c r="I326" i="2"/>
  <c r="H326" i="2"/>
  <c r="G326" i="2"/>
  <c r="F326" i="2"/>
  <c r="D326" i="2"/>
  <c r="C326" i="2"/>
  <c r="B326" i="2"/>
  <c r="J325" i="1"/>
  <c r="J325" i="2"/>
  <c r="A325" i="1"/>
  <c r="A325" i="2"/>
  <c r="I325" i="2"/>
  <c r="H325" i="2"/>
  <c r="G325" i="2"/>
  <c r="F325" i="2"/>
  <c r="D325" i="2"/>
  <c r="C325" i="2"/>
  <c r="B325" i="2"/>
  <c r="J324" i="1"/>
  <c r="J324" i="2"/>
  <c r="A324" i="1"/>
  <c r="A324" i="2"/>
  <c r="I324" i="2"/>
  <c r="H324" i="2"/>
  <c r="G324" i="2"/>
  <c r="F324" i="2"/>
  <c r="D324" i="2"/>
  <c r="C324" i="2"/>
  <c r="B324" i="2"/>
  <c r="J323" i="1"/>
  <c r="J323" i="2"/>
  <c r="A323" i="1"/>
  <c r="A323" i="2"/>
  <c r="I323" i="2"/>
  <c r="H323" i="2"/>
  <c r="G323" i="2"/>
  <c r="F323" i="2"/>
  <c r="D323" i="2"/>
  <c r="C323" i="2"/>
  <c r="B323" i="2"/>
  <c r="J322" i="1"/>
  <c r="J322" i="2"/>
  <c r="A322" i="1"/>
  <c r="A322" i="2"/>
  <c r="I322" i="2"/>
  <c r="H322" i="2"/>
  <c r="G322" i="2"/>
  <c r="F322" i="2"/>
  <c r="D322" i="2"/>
  <c r="C322" i="2"/>
  <c r="B322" i="2"/>
  <c r="J321" i="1"/>
  <c r="J321" i="2"/>
  <c r="A321" i="1"/>
  <c r="A321" i="2"/>
  <c r="I321" i="2"/>
  <c r="H321" i="2"/>
  <c r="G321" i="2"/>
  <c r="F321" i="2"/>
  <c r="D321" i="2"/>
  <c r="C321" i="2"/>
  <c r="B321" i="2"/>
  <c r="J320" i="1"/>
  <c r="J320" i="2"/>
  <c r="A320" i="1"/>
  <c r="A320" i="2"/>
  <c r="I320" i="2"/>
  <c r="H320" i="2"/>
  <c r="G320" i="2"/>
  <c r="F320" i="2"/>
  <c r="D320" i="2"/>
  <c r="C320" i="2"/>
  <c r="B320" i="2"/>
  <c r="J319" i="1"/>
  <c r="J319" i="2"/>
  <c r="A319" i="1"/>
  <c r="A319" i="2"/>
  <c r="I319" i="2"/>
  <c r="H319" i="2"/>
  <c r="G319" i="2"/>
  <c r="F319" i="2"/>
  <c r="D319" i="2"/>
  <c r="C319" i="2"/>
  <c r="B319" i="2"/>
  <c r="J318" i="1"/>
  <c r="J318" i="2"/>
  <c r="A318" i="1"/>
  <c r="A318" i="2"/>
  <c r="I318" i="2"/>
  <c r="H318" i="2"/>
  <c r="G318" i="2"/>
  <c r="F318" i="2"/>
  <c r="D318" i="2"/>
  <c r="C318" i="2"/>
  <c r="B318" i="2"/>
  <c r="J317" i="1"/>
  <c r="J317" i="2"/>
  <c r="A317" i="1"/>
  <c r="A317" i="2"/>
  <c r="I317" i="2"/>
  <c r="H317" i="2"/>
  <c r="G317" i="2"/>
  <c r="F317" i="2"/>
  <c r="D317" i="2"/>
  <c r="C317" i="2"/>
  <c r="B317" i="2"/>
  <c r="J316" i="1"/>
  <c r="J316" i="2"/>
  <c r="A316" i="1"/>
  <c r="A316" i="2"/>
  <c r="I316" i="2"/>
  <c r="H316" i="2"/>
  <c r="G316" i="2"/>
  <c r="F316" i="2"/>
  <c r="D316" i="2"/>
  <c r="C316" i="2"/>
  <c r="B316" i="2"/>
  <c r="J315" i="1"/>
  <c r="J315" i="2"/>
  <c r="A315" i="1"/>
  <c r="A315" i="2"/>
  <c r="I315" i="2"/>
  <c r="H315" i="2"/>
  <c r="G315" i="2"/>
  <c r="F315" i="2"/>
  <c r="D315" i="2"/>
  <c r="C315" i="2"/>
  <c r="B315" i="2"/>
  <c r="J314" i="1"/>
  <c r="J314" i="2"/>
  <c r="A314" i="1"/>
  <c r="A314" i="2"/>
  <c r="I314" i="2"/>
  <c r="H314" i="2"/>
  <c r="G314" i="2"/>
  <c r="F314" i="2"/>
  <c r="D314" i="2"/>
  <c r="C314" i="2"/>
  <c r="B314" i="2"/>
  <c r="J313" i="1"/>
  <c r="J313" i="2"/>
  <c r="A313" i="1"/>
  <c r="A313" i="2"/>
  <c r="I313" i="2"/>
  <c r="H313" i="2"/>
  <c r="G313" i="2"/>
  <c r="F313" i="2"/>
  <c r="D313" i="2"/>
  <c r="C313" i="2"/>
  <c r="B313" i="2"/>
  <c r="J312" i="1"/>
  <c r="J312" i="2"/>
  <c r="A312" i="1"/>
  <c r="A312" i="2"/>
  <c r="I312" i="2"/>
  <c r="H312" i="2"/>
  <c r="G312" i="2"/>
  <c r="F312" i="2"/>
  <c r="D312" i="2"/>
  <c r="C312" i="2"/>
  <c r="B312" i="2"/>
  <c r="J311" i="1"/>
  <c r="J311" i="2"/>
  <c r="A311" i="1"/>
  <c r="A311" i="2"/>
  <c r="I311" i="2"/>
  <c r="H311" i="2"/>
  <c r="G311" i="2"/>
  <c r="F311" i="2"/>
  <c r="D311" i="2"/>
  <c r="C311" i="2"/>
  <c r="B311" i="2"/>
  <c r="J310" i="1"/>
  <c r="J310" i="2"/>
  <c r="A310" i="1"/>
  <c r="A310" i="2"/>
  <c r="I310" i="2"/>
  <c r="H310" i="2"/>
  <c r="G310" i="2"/>
  <c r="F310" i="2"/>
  <c r="D310" i="2"/>
  <c r="C310" i="2"/>
  <c r="B310" i="2"/>
  <c r="J309" i="1"/>
  <c r="J309" i="2"/>
  <c r="A309" i="1"/>
  <c r="A309" i="2"/>
  <c r="I309" i="2"/>
  <c r="H309" i="2"/>
  <c r="G309" i="2"/>
  <c r="F309" i="2"/>
  <c r="D309" i="2"/>
  <c r="C309" i="2"/>
  <c r="B309" i="2"/>
  <c r="J308" i="1"/>
  <c r="J308" i="2"/>
  <c r="A308" i="1"/>
  <c r="A308" i="2"/>
  <c r="I308" i="2"/>
  <c r="H308" i="2"/>
  <c r="G308" i="2"/>
  <c r="F308" i="2"/>
  <c r="D308" i="2"/>
  <c r="C308" i="2"/>
  <c r="B308" i="2"/>
  <c r="J307" i="1"/>
  <c r="J307" i="2"/>
  <c r="A307" i="1"/>
  <c r="A307" i="2"/>
  <c r="I307" i="2"/>
  <c r="H307" i="2"/>
  <c r="G307" i="2"/>
  <c r="F307" i="2"/>
  <c r="D307" i="2"/>
  <c r="C307" i="2"/>
  <c r="B307" i="2"/>
  <c r="J306" i="1"/>
  <c r="J306" i="2"/>
  <c r="A306" i="1"/>
  <c r="A306" i="2"/>
  <c r="I306" i="2"/>
  <c r="H306" i="2"/>
  <c r="G306" i="2"/>
  <c r="F306" i="2"/>
  <c r="D306" i="2"/>
  <c r="C306" i="2"/>
  <c r="B306" i="2"/>
  <c r="J305" i="1"/>
  <c r="J305" i="2"/>
  <c r="A305" i="1"/>
  <c r="A305" i="2"/>
  <c r="I305" i="2"/>
  <c r="H305" i="2"/>
  <c r="G305" i="2"/>
  <c r="F305" i="2"/>
  <c r="D305" i="2"/>
  <c r="C305" i="2"/>
  <c r="B305" i="2"/>
  <c r="J304" i="1"/>
  <c r="J304" i="2"/>
  <c r="A304" i="1"/>
  <c r="A304" i="2"/>
  <c r="I304" i="2"/>
  <c r="H304" i="2"/>
  <c r="G304" i="2"/>
  <c r="F304" i="2"/>
  <c r="D304" i="2"/>
  <c r="C304" i="2"/>
  <c r="B304" i="2"/>
  <c r="J303" i="1"/>
  <c r="J303" i="2"/>
  <c r="A303" i="1"/>
  <c r="A303" i="2"/>
  <c r="I303" i="2"/>
  <c r="H303" i="2"/>
  <c r="G303" i="2"/>
  <c r="F303" i="2"/>
  <c r="D303" i="2"/>
  <c r="C303" i="2"/>
  <c r="B303" i="2"/>
  <c r="J302" i="1"/>
  <c r="J302" i="2"/>
  <c r="A302" i="1"/>
  <c r="A302" i="2"/>
  <c r="I302" i="2"/>
  <c r="H302" i="2"/>
  <c r="G302" i="2"/>
  <c r="F302" i="2"/>
  <c r="D302" i="2"/>
  <c r="C302" i="2"/>
  <c r="B302" i="2"/>
  <c r="J301" i="1"/>
  <c r="J301" i="2"/>
  <c r="A301" i="1"/>
  <c r="A301" i="2"/>
  <c r="I301" i="2"/>
  <c r="H301" i="2"/>
  <c r="G301" i="2"/>
  <c r="F301" i="2"/>
  <c r="D301" i="2"/>
  <c r="C301" i="2"/>
  <c r="B301" i="2"/>
  <c r="J300" i="1"/>
  <c r="J300" i="2"/>
  <c r="A300" i="1"/>
  <c r="A300" i="2"/>
  <c r="I300" i="2"/>
  <c r="H300" i="2"/>
  <c r="G300" i="2"/>
  <c r="F300" i="2"/>
  <c r="D300" i="2"/>
  <c r="C300" i="2"/>
  <c r="B300" i="2"/>
  <c r="J299" i="1"/>
  <c r="J299" i="2"/>
  <c r="A299" i="1"/>
  <c r="A299" i="2"/>
  <c r="I299" i="2"/>
  <c r="H299" i="2"/>
  <c r="G299" i="2"/>
  <c r="F299" i="2"/>
  <c r="D299" i="2"/>
  <c r="C299" i="2"/>
  <c r="B299" i="2"/>
  <c r="J298" i="1"/>
  <c r="J298" i="2"/>
  <c r="A298" i="1"/>
  <c r="A298" i="2"/>
  <c r="I298" i="2"/>
  <c r="H298" i="2"/>
  <c r="G298" i="2"/>
  <c r="F298" i="2"/>
  <c r="D298" i="2"/>
  <c r="C298" i="2"/>
  <c r="B298" i="2"/>
  <c r="J297" i="1"/>
  <c r="J297" i="2"/>
  <c r="A297" i="1"/>
  <c r="A297" i="2"/>
  <c r="I297" i="2"/>
  <c r="H297" i="2"/>
  <c r="G297" i="2"/>
  <c r="F297" i="2"/>
  <c r="D297" i="2"/>
  <c r="C297" i="2"/>
  <c r="B297" i="2"/>
  <c r="J296" i="1"/>
  <c r="J296" i="2"/>
  <c r="A296" i="1"/>
  <c r="A296" i="2"/>
  <c r="I296" i="2"/>
  <c r="H296" i="2"/>
  <c r="G296" i="2"/>
  <c r="F296" i="2"/>
  <c r="D296" i="2"/>
  <c r="C296" i="2"/>
  <c r="B296" i="2"/>
  <c r="J295" i="1"/>
  <c r="J295" i="2"/>
  <c r="A295" i="1"/>
  <c r="A295" i="2"/>
  <c r="I295" i="2"/>
  <c r="H295" i="2"/>
  <c r="G295" i="2"/>
  <c r="F295" i="2"/>
  <c r="D295" i="2"/>
  <c r="C295" i="2"/>
  <c r="B295" i="2"/>
  <c r="J294" i="1"/>
  <c r="J294" i="2"/>
  <c r="A294" i="1"/>
  <c r="A294" i="2"/>
  <c r="I294" i="2"/>
  <c r="H294" i="2"/>
  <c r="G294" i="2"/>
  <c r="F294" i="2"/>
  <c r="D294" i="2"/>
  <c r="C294" i="2"/>
  <c r="B294" i="2"/>
  <c r="J293" i="1"/>
  <c r="J293" i="2"/>
  <c r="A293" i="1"/>
  <c r="A293" i="2"/>
  <c r="I293" i="2"/>
  <c r="H293" i="2"/>
  <c r="G293" i="2"/>
  <c r="F293" i="2"/>
  <c r="D293" i="2"/>
  <c r="C293" i="2"/>
  <c r="B293" i="2"/>
  <c r="J292" i="1"/>
  <c r="J292" i="2"/>
  <c r="A292" i="1"/>
  <c r="A292" i="2"/>
  <c r="I292" i="2"/>
  <c r="H292" i="2"/>
  <c r="G292" i="2"/>
  <c r="F292" i="2"/>
  <c r="D292" i="2"/>
  <c r="C292" i="2"/>
  <c r="B292" i="2"/>
  <c r="J291" i="1"/>
  <c r="J291" i="2"/>
  <c r="A291" i="1"/>
  <c r="A291" i="2"/>
  <c r="I291" i="2"/>
  <c r="H291" i="2"/>
  <c r="G291" i="2"/>
  <c r="F291" i="2"/>
  <c r="D291" i="2"/>
  <c r="C291" i="2"/>
  <c r="B291" i="2"/>
  <c r="J290" i="1"/>
  <c r="J290" i="2"/>
  <c r="A290" i="1"/>
  <c r="A290" i="2"/>
  <c r="I290" i="2"/>
  <c r="H290" i="2"/>
  <c r="G290" i="2"/>
  <c r="F290" i="2"/>
  <c r="D290" i="2"/>
  <c r="C290" i="2"/>
  <c r="B290" i="2"/>
  <c r="J289" i="1"/>
  <c r="J289" i="2"/>
  <c r="A289" i="1"/>
  <c r="A289" i="2"/>
  <c r="I289" i="2"/>
  <c r="H289" i="2"/>
  <c r="G289" i="2"/>
  <c r="F289" i="2"/>
  <c r="D289" i="2"/>
  <c r="C289" i="2"/>
  <c r="B289" i="2"/>
  <c r="J288" i="1"/>
  <c r="J288" i="2"/>
  <c r="A288" i="1"/>
  <c r="A288" i="2"/>
  <c r="I288" i="2"/>
  <c r="H288" i="2"/>
  <c r="G288" i="2"/>
  <c r="F288" i="2"/>
  <c r="D288" i="2"/>
  <c r="C288" i="2"/>
  <c r="B288" i="2"/>
  <c r="J287" i="1"/>
  <c r="J287" i="2"/>
  <c r="A287" i="1"/>
  <c r="A287" i="2"/>
  <c r="I287" i="2"/>
  <c r="H287" i="2"/>
  <c r="G287" i="2"/>
  <c r="F287" i="2"/>
  <c r="D287" i="2"/>
  <c r="C287" i="2"/>
  <c r="B287" i="2"/>
  <c r="J286" i="1"/>
  <c r="J286" i="2"/>
  <c r="A286" i="1"/>
  <c r="A286" i="2"/>
  <c r="I286" i="2"/>
  <c r="H286" i="2"/>
  <c r="G286" i="2"/>
  <c r="F286" i="2"/>
  <c r="D286" i="2"/>
  <c r="C286" i="2"/>
  <c r="B286" i="2"/>
  <c r="J285" i="1"/>
  <c r="J285" i="2"/>
  <c r="A285" i="1"/>
  <c r="A285" i="2"/>
  <c r="I285" i="2"/>
  <c r="H285" i="2"/>
  <c r="G285" i="2"/>
  <c r="F285" i="2"/>
  <c r="D285" i="2"/>
  <c r="C285" i="2"/>
  <c r="B285" i="2"/>
  <c r="J284" i="1"/>
  <c r="J284" i="2"/>
  <c r="A284" i="1"/>
  <c r="A284" i="2"/>
  <c r="I284" i="2"/>
  <c r="H284" i="2"/>
  <c r="G284" i="2"/>
  <c r="F284" i="2"/>
  <c r="D284" i="2"/>
  <c r="C284" i="2"/>
  <c r="B284" i="2"/>
  <c r="J283" i="1"/>
  <c r="J283" i="2"/>
  <c r="A283" i="1"/>
  <c r="A283" i="2"/>
  <c r="I283" i="2"/>
  <c r="H283" i="2"/>
  <c r="G283" i="2"/>
  <c r="F283" i="2"/>
  <c r="D283" i="2"/>
  <c r="C283" i="2"/>
  <c r="B283" i="2"/>
  <c r="J282" i="1"/>
  <c r="J282" i="2"/>
  <c r="A282" i="1"/>
  <c r="A282" i="2"/>
  <c r="I282" i="2"/>
  <c r="H282" i="2"/>
  <c r="G282" i="2"/>
  <c r="F282" i="2"/>
  <c r="D282" i="2"/>
  <c r="C282" i="2"/>
  <c r="B282" i="2"/>
  <c r="J281" i="1"/>
  <c r="J281" i="2"/>
  <c r="A281" i="1"/>
  <c r="A281" i="2"/>
  <c r="I281" i="2"/>
  <c r="H281" i="2"/>
  <c r="G281" i="2"/>
  <c r="F281" i="2"/>
  <c r="D281" i="2"/>
  <c r="C281" i="2"/>
  <c r="B281" i="2"/>
  <c r="J280" i="1"/>
  <c r="J280" i="2"/>
  <c r="A280" i="1"/>
  <c r="A280" i="2"/>
  <c r="I280" i="2"/>
  <c r="H280" i="2"/>
  <c r="G280" i="2"/>
  <c r="F280" i="2"/>
  <c r="D280" i="2"/>
  <c r="C280" i="2"/>
  <c r="B280" i="2"/>
  <c r="J279" i="1"/>
  <c r="J279" i="2"/>
  <c r="A279" i="1"/>
  <c r="A279" i="2"/>
  <c r="I279" i="2"/>
  <c r="H279" i="2"/>
  <c r="G279" i="2"/>
  <c r="F279" i="2"/>
  <c r="D279" i="2"/>
  <c r="C279" i="2"/>
  <c r="B279" i="2"/>
  <c r="J278" i="1"/>
  <c r="J278" i="2"/>
  <c r="A278" i="1"/>
  <c r="A278" i="2"/>
  <c r="I278" i="2"/>
  <c r="H278" i="2"/>
  <c r="G278" i="2"/>
  <c r="F278" i="2"/>
  <c r="D278" i="2"/>
  <c r="C278" i="2"/>
  <c r="B278" i="2"/>
  <c r="J277" i="1"/>
  <c r="J277" i="2"/>
  <c r="A277" i="1"/>
  <c r="A277" i="2"/>
  <c r="I277" i="2"/>
  <c r="H277" i="2"/>
  <c r="G277" i="2"/>
  <c r="F277" i="2"/>
  <c r="D277" i="2"/>
  <c r="C277" i="2"/>
  <c r="B277" i="2"/>
  <c r="J276" i="1"/>
  <c r="J276" i="2"/>
  <c r="A276" i="1"/>
  <c r="A276" i="2"/>
  <c r="I276" i="2"/>
  <c r="H276" i="2"/>
  <c r="G276" i="2"/>
  <c r="F276" i="2"/>
  <c r="D276" i="2"/>
  <c r="C276" i="2"/>
  <c r="B276" i="2"/>
  <c r="J275" i="1"/>
  <c r="J275" i="2"/>
  <c r="A275" i="1"/>
  <c r="A275" i="2"/>
  <c r="I275" i="2"/>
  <c r="H275" i="2"/>
  <c r="G275" i="2"/>
  <c r="F275" i="2"/>
  <c r="D275" i="2"/>
  <c r="C275" i="2"/>
  <c r="B275" i="2"/>
  <c r="J274" i="1"/>
  <c r="J274" i="2"/>
  <c r="A274" i="1"/>
  <c r="A274" i="2"/>
  <c r="I274" i="2"/>
  <c r="H274" i="2"/>
  <c r="G274" i="2"/>
  <c r="F274" i="2"/>
  <c r="D274" i="2"/>
  <c r="C274" i="2"/>
  <c r="B274" i="2"/>
  <c r="J273" i="1"/>
  <c r="J273" i="2"/>
  <c r="A273" i="1"/>
  <c r="A273" i="2"/>
  <c r="I273" i="2"/>
  <c r="H273" i="2"/>
  <c r="G273" i="2"/>
  <c r="F273" i="2"/>
  <c r="D273" i="2"/>
  <c r="C273" i="2"/>
  <c r="B273" i="2"/>
  <c r="J272" i="1"/>
  <c r="J272" i="2"/>
  <c r="A272" i="1"/>
  <c r="A272" i="2"/>
  <c r="I272" i="2"/>
  <c r="H272" i="2"/>
  <c r="G272" i="2"/>
  <c r="F272" i="2"/>
  <c r="D272" i="2"/>
  <c r="C272" i="2"/>
  <c r="B272" i="2"/>
  <c r="J271" i="1"/>
  <c r="J271" i="2"/>
  <c r="A271" i="1"/>
  <c r="A271" i="2"/>
  <c r="I271" i="2"/>
  <c r="H271" i="2"/>
  <c r="G271" i="2"/>
  <c r="F271" i="2"/>
  <c r="D271" i="2"/>
  <c r="C271" i="2"/>
  <c r="B271" i="2"/>
  <c r="J270" i="1"/>
  <c r="J270" i="2"/>
  <c r="A270" i="1"/>
  <c r="A270" i="2"/>
  <c r="I270" i="2"/>
  <c r="H270" i="2"/>
  <c r="G270" i="2"/>
  <c r="F270" i="2"/>
  <c r="D270" i="2"/>
  <c r="C270" i="2"/>
  <c r="B270" i="2"/>
  <c r="J269" i="1"/>
  <c r="J269" i="2"/>
  <c r="A269" i="1"/>
  <c r="A269" i="2"/>
  <c r="I269" i="2"/>
  <c r="H269" i="2"/>
  <c r="G269" i="2"/>
  <c r="F269" i="2"/>
  <c r="D269" i="2"/>
  <c r="C269" i="2"/>
  <c r="B269" i="2"/>
  <c r="J268" i="1"/>
  <c r="J268" i="2"/>
  <c r="A268" i="1"/>
  <c r="A268" i="2"/>
  <c r="I268" i="2"/>
  <c r="H268" i="2"/>
  <c r="G268" i="2"/>
  <c r="F268" i="2"/>
  <c r="D268" i="2"/>
  <c r="C268" i="2"/>
  <c r="B268" i="2"/>
  <c r="J267" i="1"/>
  <c r="J267" i="2"/>
  <c r="A267" i="1"/>
  <c r="A267" i="2"/>
  <c r="I267" i="2"/>
  <c r="H267" i="2"/>
  <c r="G267" i="2"/>
  <c r="F267" i="2"/>
  <c r="D267" i="2"/>
  <c r="C267" i="2"/>
  <c r="B267" i="2"/>
  <c r="J266" i="1"/>
  <c r="J266" i="2"/>
  <c r="A266" i="1"/>
  <c r="A266" i="2"/>
  <c r="I266" i="2"/>
  <c r="H266" i="2"/>
  <c r="G266" i="2"/>
  <c r="F266" i="2"/>
  <c r="D266" i="2"/>
  <c r="C266" i="2"/>
  <c r="B266" i="2"/>
  <c r="J265" i="1"/>
  <c r="J265" i="2"/>
  <c r="A265" i="1"/>
  <c r="A265" i="2"/>
  <c r="I265" i="2"/>
  <c r="H265" i="2"/>
  <c r="G265" i="2"/>
  <c r="F265" i="2"/>
  <c r="D265" i="2"/>
  <c r="C265" i="2"/>
  <c r="B265" i="2"/>
  <c r="J264" i="1"/>
  <c r="J264" i="2"/>
  <c r="A264" i="1"/>
  <c r="A264" i="2"/>
  <c r="I264" i="2"/>
  <c r="H264" i="2"/>
  <c r="G264" i="2"/>
  <c r="F264" i="2"/>
  <c r="D264" i="2"/>
  <c r="C264" i="2"/>
  <c r="B264" i="2"/>
  <c r="J263" i="1"/>
  <c r="J263" i="2"/>
  <c r="A263" i="1"/>
  <c r="A263" i="2"/>
  <c r="I263" i="2"/>
  <c r="H263" i="2"/>
  <c r="G263" i="2"/>
  <c r="F263" i="2"/>
  <c r="D263" i="2"/>
  <c r="C263" i="2"/>
  <c r="B263" i="2"/>
  <c r="J262" i="1"/>
  <c r="J262" i="2"/>
  <c r="A262" i="1"/>
  <c r="A262" i="2"/>
  <c r="I262" i="2"/>
  <c r="H262" i="2"/>
  <c r="G262" i="2"/>
  <c r="F262" i="2"/>
  <c r="D262" i="2"/>
  <c r="C262" i="2"/>
  <c r="B262" i="2"/>
  <c r="J261" i="1"/>
  <c r="J261" i="2"/>
  <c r="A261" i="1"/>
  <c r="A261" i="2"/>
  <c r="I261" i="2"/>
  <c r="H261" i="2"/>
  <c r="G261" i="2"/>
  <c r="F261" i="2"/>
  <c r="D261" i="2"/>
  <c r="C261" i="2"/>
  <c r="B261" i="2"/>
  <c r="J260" i="1"/>
  <c r="J260" i="2"/>
  <c r="A260" i="1"/>
  <c r="A260" i="2"/>
  <c r="I260" i="2"/>
  <c r="H260" i="2"/>
  <c r="G260" i="2"/>
  <c r="F260" i="2"/>
  <c r="D260" i="2"/>
  <c r="C260" i="2"/>
  <c r="B260" i="2"/>
  <c r="J259" i="1"/>
  <c r="J259" i="2"/>
  <c r="A259" i="1"/>
  <c r="A259" i="2"/>
  <c r="I259" i="2"/>
  <c r="H259" i="2"/>
  <c r="G259" i="2"/>
  <c r="F259" i="2"/>
  <c r="D259" i="2"/>
  <c r="C259" i="2"/>
  <c r="B259" i="2"/>
  <c r="J258" i="1"/>
  <c r="J258" i="2"/>
  <c r="A258" i="1"/>
  <c r="A258" i="2"/>
  <c r="I258" i="2"/>
  <c r="H258" i="2"/>
  <c r="G258" i="2"/>
  <c r="F258" i="2"/>
  <c r="D258" i="2"/>
  <c r="C258" i="2"/>
  <c r="B258" i="2"/>
  <c r="J257" i="1"/>
  <c r="J257" i="2"/>
  <c r="A257" i="1"/>
  <c r="A257" i="2"/>
  <c r="I257" i="2"/>
  <c r="H257" i="2"/>
  <c r="G257" i="2"/>
  <c r="F257" i="2"/>
  <c r="D257" i="2"/>
  <c r="C257" i="2"/>
  <c r="B257" i="2"/>
  <c r="J256" i="1"/>
  <c r="J256" i="2"/>
  <c r="A256" i="1"/>
  <c r="A256" i="2"/>
  <c r="I256" i="2"/>
  <c r="H256" i="2"/>
  <c r="G256" i="2"/>
  <c r="F256" i="2"/>
  <c r="D256" i="2"/>
  <c r="C256" i="2"/>
  <c r="B256" i="2"/>
  <c r="J255" i="1"/>
  <c r="J255" i="2"/>
  <c r="A255" i="1"/>
  <c r="A255" i="2"/>
  <c r="I255" i="2"/>
  <c r="H255" i="2"/>
  <c r="G255" i="2"/>
  <c r="F255" i="2"/>
  <c r="D255" i="2"/>
  <c r="C255" i="2"/>
  <c r="B255" i="2"/>
  <c r="J254" i="1"/>
  <c r="J254" i="2"/>
  <c r="A254" i="1"/>
  <c r="A254" i="2"/>
  <c r="I254" i="2"/>
  <c r="H254" i="2"/>
  <c r="G254" i="2"/>
  <c r="F254" i="2"/>
  <c r="D254" i="2"/>
  <c r="C254" i="2"/>
  <c r="B254" i="2"/>
  <c r="J253" i="1"/>
  <c r="J253" i="2"/>
  <c r="A253" i="1"/>
  <c r="A253" i="2"/>
  <c r="I253" i="2"/>
  <c r="H253" i="2"/>
  <c r="G253" i="2"/>
  <c r="F253" i="2"/>
  <c r="D253" i="2"/>
  <c r="C253" i="2"/>
  <c r="B253" i="2"/>
  <c r="J252" i="1"/>
  <c r="J252" i="2"/>
  <c r="A252" i="1"/>
  <c r="A252" i="2"/>
  <c r="I252" i="2"/>
  <c r="H252" i="2"/>
  <c r="G252" i="2"/>
  <c r="F252" i="2"/>
  <c r="D252" i="2"/>
  <c r="C252" i="2"/>
  <c r="B252" i="2"/>
  <c r="J251" i="1"/>
  <c r="J251" i="2"/>
  <c r="A251" i="1"/>
  <c r="A251" i="2"/>
  <c r="I251" i="2"/>
  <c r="H251" i="2"/>
  <c r="G251" i="2"/>
  <c r="F251" i="2"/>
  <c r="D251" i="2"/>
  <c r="C251" i="2"/>
  <c r="B251" i="2"/>
  <c r="J250" i="1"/>
  <c r="J250" i="2"/>
  <c r="A250" i="1"/>
  <c r="A250" i="2"/>
  <c r="I250" i="2"/>
  <c r="H250" i="2"/>
  <c r="G250" i="2"/>
  <c r="F250" i="2"/>
  <c r="D250" i="2"/>
  <c r="C250" i="2"/>
  <c r="B250" i="2"/>
  <c r="J249" i="1"/>
  <c r="J249" i="2"/>
  <c r="A249" i="1"/>
  <c r="A249" i="2"/>
  <c r="I249" i="2"/>
  <c r="H249" i="2"/>
  <c r="G249" i="2"/>
  <c r="F249" i="2"/>
  <c r="D249" i="2"/>
  <c r="C249" i="2"/>
  <c r="B249" i="2"/>
  <c r="J248" i="1"/>
  <c r="J248" i="2"/>
  <c r="A248" i="1"/>
  <c r="A248" i="2"/>
  <c r="I248" i="2"/>
  <c r="H248" i="2"/>
  <c r="G248" i="2"/>
  <c r="F248" i="2"/>
  <c r="D248" i="2"/>
  <c r="C248" i="2"/>
  <c r="B248" i="2"/>
  <c r="J247" i="1"/>
  <c r="J247" i="2"/>
  <c r="A247" i="1"/>
  <c r="A247" i="2"/>
  <c r="I247" i="2"/>
  <c r="H247" i="2"/>
  <c r="G247" i="2"/>
  <c r="F247" i="2"/>
  <c r="D247" i="2"/>
  <c r="C247" i="2"/>
  <c r="B247" i="2"/>
  <c r="J246" i="1"/>
  <c r="J246" i="2"/>
  <c r="A246" i="1"/>
  <c r="A246" i="2"/>
  <c r="I246" i="2"/>
  <c r="H246" i="2"/>
  <c r="G246" i="2"/>
  <c r="F246" i="2"/>
  <c r="D246" i="2"/>
  <c r="C246" i="2"/>
  <c r="B246" i="2"/>
  <c r="J245" i="1"/>
  <c r="J245" i="2"/>
  <c r="A245" i="1"/>
  <c r="A245" i="2"/>
  <c r="I245" i="2"/>
  <c r="H245" i="2"/>
  <c r="G245" i="2"/>
  <c r="F245" i="2"/>
  <c r="D245" i="2"/>
  <c r="C245" i="2"/>
  <c r="B245" i="2"/>
  <c r="J244" i="1"/>
  <c r="J244" i="2"/>
  <c r="A244" i="1"/>
  <c r="A244" i="2"/>
  <c r="I244" i="2"/>
  <c r="H244" i="2"/>
  <c r="G244" i="2"/>
  <c r="F244" i="2"/>
  <c r="D244" i="2"/>
  <c r="C244" i="2"/>
  <c r="B244" i="2"/>
  <c r="J243" i="1"/>
  <c r="J243" i="2"/>
  <c r="A243" i="1"/>
  <c r="A243" i="2"/>
  <c r="I243" i="2"/>
  <c r="H243" i="2"/>
  <c r="G243" i="2"/>
  <c r="F243" i="2"/>
  <c r="D243" i="2"/>
  <c r="C243" i="2"/>
  <c r="B243" i="2"/>
  <c r="J242" i="1"/>
  <c r="J242" i="2"/>
  <c r="A242" i="1"/>
  <c r="A242" i="2"/>
  <c r="I242" i="2"/>
  <c r="H242" i="2"/>
  <c r="G242" i="2"/>
  <c r="F242" i="2"/>
  <c r="D242" i="2"/>
  <c r="C242" i="2"/>
  <c r="B242" i="2"/>
  <c r="J241" i="1"/>
  <c r="J241" i="2"/>
  <c r="A241" i="1"/>
  <c r="A241" i="2"/>
  <c r="I241" i="2"/>
  <c r="H241" i="2"/>
  <c r="G241" i="2"/>
  <c r="F241" i="2"/>
  <c r="D241" i="2"/>
  <c r="C241" i="2"/>
  <c r="B241" i="2"/>
  <c r="J240" i="1"/>
  <c r="J240" i="2"/>
  <c r="A240" i="1"/>
  <c r="A240" i="2"/>
  <c r="I240" i="2"/>
  <c r="H240" i="2"/>
  <c r="G240" i="2"/>
  <c r="F240" i="2"/>
  <c r="D240" i="2"/>
  <c r="C240" i="2"/>
  <c r="B240" i="2"/>
  <c r="J239" i="1"/>
  <c r="J239" i="2"/>
  <c r="A239" i="1"/>
  <c r="A239" i="2"/>
  <c r="I239" i="2"/>
  <c r="H239" i="2"/>
  <c r="G239" i="2"/>
  <c r="F239" i="2"/>
  <c r="D239" i="2"/>
  <c r="C239" i="2"/>
  <c r="B239" i="2"/>
  <c r="J238" i="1"/>
  <c r="J238" i="2"/>
  <c r="A238" i="1"/>
  <c r="A238" i="2"/>
  <c r="I238" i="2"/>
  <c r="H238" i="2"/>
  <c r="G238" i="2"/>
  <c r="F238" i="2"/>
  <c r="D238" i="2"/>
  <c r="C238" i="2"/>
  <c r="B238" i="2"/>
  <c r="J237" i="1"/>
  <c r="J237" i="2"/>
  <c r="A237" i="1"/>
  <c r="A237" i="2"/>
  <c r="I237" i="2"/>
  <c r="H237" i="2"/>
  <c r="G237" i="2"/>
  <c r="F237" i="2"/>
  <c r="D237" i="2"/>
  <c r="C237" i="2"/>
  <c r="B237" i="2"/>
  <c r="J236" i="1"/>
  <c r="J236" i="2"/>
  <c r="A236" i="1"/>
  <c r="A236" i="2"/>
  <c r="I236" i="2"/>
  <c r="H236" i="2"/>
  <c r="G236" i="2"/>
  <c r="F236" i="2"/>
  <c r="D236" i="2"/>
  <c r="C236" i="2"/>
  <c r="B236" i="2"/>
  <c r="J235" i="1"/>
  <c r="J235" i="2"/>
  <c r="A235" i="1"/>
  <c r="A235" i="2"/>
  <c r="I235" i="2"/>
  <c r="H235" i="2"/>
  <c r="G235" i="2"/>
  <c r="F235" i="2"/>
  <c r="D235" i="2"/>
  <c r="C235" i="2"/>
  <c r="B235" i="2"/>
  <c r="J234" i="1"/>
  <c r="J234" i="2"/>
  <c r="A234" i="1"/>
  <c r="A234" i="2"/>
  <c r="I234" i="2"/>
  <c r="H234" i="2"/>
  <c r="G234" i="2"/>
  <c r="F234" i="2"/>
  <c r="D234" i="2"/>
  <c r="C234" i="2"/>
  <c r="B234" i="2"/>
  <c r="J233" i="1"/>
  <c r="J233" i="2"/>
  <c r="A233" i="1"/>
  <c r="A233" i="2"/>
  <c r="I233" i="2"/>
  <c r="H233" i="2"/>
  <c r="G233" i="2"/>
  <c r="F233" i="2"/>
  <c r="D233" i="2"/>
  <c r="C233" i="2"/>
  <c r="B233" i="2"/>
  <c r="J232" i="1"/>
  <c r="J232" i="2"/>
  <c r="A232" i="1"/>
  <c r="A232" i="2"/>
  <c r="I232" i="2"/>
  <c r="H232" i="2"/>
  <c r="G232" i="2"/>
  <c r="F232" i="2"/>
  <c r="D232" i="2"/>
  <c r="C232" i="2"/>
  <c r="B232" i="2"/>
  <c r="J231" i="1"/>
  <c r="J231" i="2"/>
  <c r="A231" i="1"/>
  <c r="A231" i="2"/>
  <c r="I231" i="2"/>
  <c r="H231" i="2"/>
  <c r="G231" i="2"/>
  <c r="F231" i="2"/>
  <c r="D231" i="2"/>
  <c r="C231" i="2"/>
  <c r="B231" i="2"/>
  <c r="J230" i="1"/>
  <c r="J230" i="2"/>
  <c r="A230" i="1"/>
  <c r="A230" i="2"/>
  <c r="I230" i="2"/>
  <c r="H230" i="2"/>
  <c r="G230" i="2"/>
  <c r="F230" i="2"/>
  <c r="D230" i="2"/>
  <c r="C230" i="2"/>
  <c r="B230" i="2"/>
  <c r="J229" i="1"/>
  <c r="J229" i="2"/>
  <c r="A229" i="1"/>
  <c r="A229" i="2"/>
  <c r="I229" i="2"/>
  <c r="H229" i="2"/>
  <c r="G229" i="2"/>
  <c r="F229" i="2"/>
  <c r="D229" i="2"/>
  <c r="C229" i="2"/>
  <c r="B229" i="2"/>
  <c r="J228" i="1"/>
  <c r="J228" i="2"/>
  <c r="A228" i="1"/>
  <c r="A228" i="2"/>
  <c r="I228" i="2"/>
  <c r="H228" i="2"/>
  <c r="G228" i="2"/>
  <c r="F228" i="2"/>
  <c r="D228" i="2"/>
  <c r="C228" i="2"/>
  <c r="B228" i="2"/>
  <c r="J227" i="1"/>
  <c r="J227" i="2"/>
  <c r="A227" i="1"/>
  <c r="A227" i="2"/>
  <c r="I227" i="2"/>
  <c r="H227" i="2"/>
  <c r="G227" i="2"/>
  <c r="F227" i="2"/>
  <c r="D227" i="2"/>
  <c r="C227" i="2"/>
  <c r="B227" i="2"/>
  <c r="J226" i="1"/>
  <c r="J226" i="2"/>
  <c r="A226" i="1"/>
  <c r="A226" i="2"/>
  <c r="I226" i="2"/>
  <c r="H226" i="2"/>
  <c r="G226" i="2"/>
  <c r="F226" i="2"/>
  <c r="D226" i="2"/>
  <c r="C226" i="2"/>
  <c r="B226" i="2"/>
  <c r="J225" i="1"/>
  <c r="J225" i="2"/>
  <c r="A225" i="1"/>
  <c r="A225" i="2"/>
  <c r="I225" i="2"/>
  <c r="H225" i="2"/>
  <c r="G225" i="2"/>
  <c r="F225" i="2"/>
  <c r="D225" i="2"/>
  <c r="C225" i="2"/>
  <c r="B225" i="2"/>
  <c r="J224" i="1"/>
  <c r="J224" i="2"/>
  <c r="A224" i="1"/>
  <c r="A224" i="2"/>
  <c r="I224" i="2"/>
  <c r="H224" i="2"/>
  <c r="G224" i="2"/>
  <c r="F224" i="2"/>
  <c r="D224" i="2"/>
  <c r="C224" i="2"/>
  <c r="B224" i="2"/>
  <c r="J223" i="1"/>
  <c r="J223" i="2"/>
  <c r="A223" i="1"/>
  <c r="A223" i="2"/>
  <c r="I223" i="2"/>
  <c r="H223" i="2"/>
  <c r="G223" i="2"/>
  <c r="F223" i="2"/>
  <c r="D223" i="2"/>
  <c r="C223" i="2"/>
  <c r="B223" i="2"/>
  <c r="J222" i="1"/>
  <c r="J222" i="2"/>
  <c r="A222" i="1"/>
  <c r="A222" i="2"/>
  <c r="I222" i="2"/>
  <c r="H222" i="2"/>
  <c r="G222" i="2"/>
  <c r="F222" i="2"/>
  <c r="D222" i="2"/>
  <c r="C222" i="2"/>
  <c r="B222" i="2"/>
  <c r="J221" i="1"/>
  <c r="J221" i="2"/>
  <c r="A221" i="1"/>
  <c r="A221" i="2"/>
  <c r="I221" i="2"/>
  <c r="H221" i="2"/>
  <c r="G221" i="2"/>
  <c r="F221" i="2"/>
  <c r="D221" i="2"/>
  <c r="C221" i="2"/>
  <c r="B221" i="2"/>
  <c r="J220" i="1"/>
  <c r="J220" i="2"/>
  <c r="A220" i="1"/>
  <c r="A220" i="2"/>
  <c r="I220" i="2"/>
  <c r="H220" i="2"/>
  <c r="G220" i="2"/>
  <c r="F220" i="2"/>
  <c r="D220" i="2"/>
  <c r="C220" i="2"/>
  <c r="B220" i="2"/>
  <c r="J219" i="1"/>
  <c r="J219" i="2"/>
  <c r="A219" i="1"/>
  <c r="A219" i="2"/>
  <c r="I219" i="2"/>
  <c r="H219" i="2"/>
  <c r="G219" i="2"/>
  <c r="F219" i="2"/>
  <c r="D219" i="2"/>
  <c r="C219" i="2"/>
  <c r="B219" i="2"/>
  <c r="J218" i="1"/>
  <c r="J218" i="2"/>
  <c r="A218" i="1"/>
  <c r="A218" i="2"/>
  <c r="I218" i="2"/>
  <c r="H218" i="2"/>
  <c r="G218" i="2"/>
  <c r="F218" i="2"/>
  <c r="D218" i="2"/>
  <c r="C218" i="2"/>
  <c r="B218" i="2"/>
  <c r="J217" i="1"/>
  <c r="J217" i="2"/>
  <c r="A217" i="1"/>
  <c r="A217" i="2"/>
  <c r="I217" i="2"/>
  <c r="H217" i="2"/>
  <c r="G217" i="2"/>
  <c r="F217" i="2"/>
  <c r="D217" i="2"/>
  <c r="C217" i="2"/>
  <c r="B217" i="2"/>
  <c r="J216" i="1"/>
  <c r="J216" i="2"/>
  <c r="A216" i="1"/>
  <c r="A216" i="2"/>
  <c r="I216" i="2"/>
  <c r="H216" i="2"/>
  <c r="G216" i="2"/>
  <c r="F216" i="2"/>
  <c r="D216" i="2"/>
  <c r="C216" i="2"/>
  <c r="B216" i="2"/>
  <c r="J215" i="1"/>
  <c r="J215" i="2"/>
  <c r="A215" i="1"/>
  <c r="A215" i="2"/>
  <c r="I215" i="2"/>
  <c r="H215" i="2"/>
  <c r="G215" i="2"/>
  <c r="F215" i="2"/>
  <c r="D215" i="2"/>
  <c r="C215" i="2"/>
  <c r="B215" i="2"/>
  <c r="J214" i="1"/>
  <c r="J214" i="2"/>
  <c r="A214" i="1"/>
  <c r="A214" i="2"/>
  <c r="I214" i="2"/>
  <c r="H214" i="2"/>
  <c r="G214" i="2"/>
  <c r="F214" i="2"/>
  <c r="D214" i="2"/>
  <c r="C214" i="2"/>
  <c r="B214" i="2"/>
  <c r="J213" i="1"/>
  <c r="J213" i="2"/>
  <c r="A213" i="1"/>
  <c r="A213" i="2"/>
  <c r="I213" i="2"/>
  <c r="H213" i="2"/>
  <c r="G213" i="2"/>
  <c r="F213" i="2"/>
  <c r="D213" i="2"/>
  <c r="C213" i="2"/>
  <c r="B213" i="2"/>
  <c r="J212" i="1"/>
  <c r="J212" i="2"/>
  <c r="A212" i="1"/>
  <c r="A212" i="2"/>
  <c r="I212" i="2"/>
  <c r="H212" i="2"/>
  <c r="G212" i="2"/>
  <c r="F212" i="2"/>
  <c r="D212" i="2"/>
  <c r="C212" i="2"/>
  <c r="B212" i="2"/>
  <c r="J211" i="1"/>
  <c r="J211" i="2"/>
  <c r="A211" i="1"/>
  <c r="A211" i="2"/>
  <c r="I211" i="2"/>
  <c r="H211" i="2"/>
  <c r="G211" i="2"/>
  <c r="F211" i="2"/>
  <c r="D211" i="2"/>
  <c r="C211" i="2"/>
  <c r="B211" i="2"/>
  <c r="J210" i="1"/>
  <c r="J210" i="2"/>
  <c r="A210" i="1"/>
  <c r="A210" i="2"/>
  <c r="I210" i="2"/>
  <c r="H210" i="2"/>
  <c r="G210" i="2"/>
  <c r="F210" i="2"/>
  <c r="D210" i="2"/>
  <c r="C210" i="2"/>
  <c r="B210" i="2"/>
  <c r="J209" i="1"/>
  <c r="J209" i="2"/>
  <c r="A209" i="1"/>
  <c r="A209" i="2"/>
  <c r="I209" i="2"/>
  <c r="H209" i="2"/>
  <c r="G209" i="2"/>
  <c r="F209" i="2"/>
  <c r="D209" i="2"/>
  <c r="C209" i="2"/>
  <c r="B209" i="2"/>
  <c r="J208" i="1"/>
  <c r="J208" i="2"/>
  <c r="A208" i="1"/>
  <c r="A208" i="2"/>
  <c r="I208" i="2"/>
  <c r="H208" i="2"/>
  <c r="G208" i="2"/>
  <c r="F208" i="2"/>
  <c r="D208" i="2"/>
  <c r="C208" i="2"/>
  <c r="B208" i="2"/>
  <c r="J207" i="1"/>
  <c r="J207" i="2"/>
  <c r="A207" i="1"/>
  <c r="A207" i="2"/>
  <c r="I207" i="2"/>
  <c r="H207" i="2"/>
  <c r="G207" i="2"/>
  <c r="F207" i="2"/>
  <c r="D207" i="2"/>
  <c r="C207" i="2"/>
  <c r="B207" i="2"/>
  <c r="J206" i="1"/>
  <c r="J206" i="2"/>
  <c r="A206" i="1"/>
  <c r="A206" i="2"/>
  <c r="I206" i="2"/>
  <c r="H206" i="2"/>
  <c r="G206" i="2"/>
  <c r="F206" i="2"/>
  <c r="D206" i="2"/>
  <c r="C206" i="2"/>
  <c r="B206" i="2"/>
  <c r="J205" i="1"/>
  <c r="J205" i="2"/>
  <c r="A205" i="1"/>
  <c r="A205" i="2"/>
  <c r="I205" i="2"/>
  <c r="H205" i="2"/>
  <c r="G205" i="2"/>
  <c r="F205" i="2"/>
  <c r="D205" i="2"/>
  <c r="C205" i="2"/>
  <c r="B205" i="2"/>
  <c r="J204" i="1"/>
  <c r="J204" i="2"/>
  <c r="A204" i="1"/>
  <c r="A204" i="2"/>
  <c r="I204" i="2"/>
  <c r="H204" i="2"/>
  <c r="G204" i="2"/>
  <c r="F204" i="2"/>
  <c r="D204" i="2"/>
  <c r="C204" i="2"/>
  <c r="B204" i="2"/>
  <c r="J203" i="1"/>
  <c r="J203" i="2"/>
  <c r="A203" i="1"/>
  <c r="A203" i="2"/>
  <c r="I203" i="2"/>
  <c r="H203" i="2"/>
  <c r="G203" i="2"/>
  <c r="F203" i="2"/>
  <c r="D203" i="2"/>
  <c r="C203" i="2"/>
  <c r="B203" i="2"/>
  <c r="J202" i="1"/>
  <c r="J202" i="2"/>
  <c r="A202" i="1"/>
  <c r="A202" i="2"/>
  <c r="I202" i="2"/>
  <c r="H202" i="2"/>
  <c r="G202" i="2"/>
  <c r="F202" i="2"/>
  <c r="D202" i="2"/>
  <c r="C202" i="2"/>
  <c r="B202" i="2"/>
  <c r="J201" i="1"/>
  <c r="J201" i="2"/>
  <c r="A201" i="1"/>
  <c r="A201" i="2"/>
  <c r="I201" i="2"/>
  <c r="H201" i="2"/>
  <c r="G201" i="2"/>
  <c r="F201" i="2"/>
  <c r="D201" i="2"/>
  <c r="C201" i="2"/>
  <c r="B201" i="2"/>
  <c r="J200" i="1"/>
  <c r="J200" i="2"/>
  <c r="A200" i="1"/>
  <c r="A200" i="2"/>
  <c r="I200" i="2"/>
  <c r="H200" i="2"/>
  <c r="G200" i="2"/>
  <c r="F200" i="2"/>
  <c r="D200" i="2"/>
  <c r="C200" i="2"/>
  <c r="B200" i="2"/>
  <c r="J199" i="1"/>
  <c r="J199" i="2"/>
  <c r="A199" i="1"/>
  <c r="A199" i="2"/>
  <c r="I199" i="2"/>
  <c r="H199" i="2"/>
  <c r="G199" i="2"/>
  <c r="F199" i="2"/>
  <c r="D199" i="2"/>
  <c r="C199" i="2"/>
  <c r="B199" i="2"/>
  <c r="J198" i="1"/>
  <c r="J198" i="2"/>
  <c r="A198" i="1"/>
  <c r="A198" i="2"/>
  <c r="I198" i="2"/>
  <c r="H198" i="2"/>
  <c r="G198" i="2"/>
  <c r="F198" i="2"/>
  <c r="D198" i="2"/>
  <c r="C198" i="2"/>
  <c r="B198" i="2"/>
  <c r="J197" i="1"/>
  <c r="J197" i="2"/>
  <c r="A197" i="1"/>
  <c r="A197" i="2"/>
  <c r="I197" i="2"/>
  <c r="H197" i="2"/>
  <c r="G197" i="2"/>
  <c r="F197" i="2"/>
  <c r="D197" i="2"/>
  <c r="C197" i="2"/>
  <c r="B197" i="2"/>
  <c r="J196" i="1"/>
  <c r="J196" i="2"/>
  <c r="A196" i="1"/>
  <c r="A196" i="2"/>
  <c r="I196" i="2"/>
  <c r="H196" i="2"/>
  <c r="G196" i="2"/>
  <c r="F196" i="2"/>
  <c r="D196" i="2"/>
  <c r="C196" i="2"/>
  <c r="B196" i="2"/>
  <c r="J195" i="1"/>
  <c r="J195" i="2"/>
  <c r="A195" i="1"/>
  <c r="A195" i="2"/>
  <c r="I195" i="2"/>
  <c r="H195" i="2"/>
  <c r="G195" i="2"/>
  <c r="F195" i="2"/>
  <c r="D195" i="2"/>
  <c r="C195" i="2"/>
  <c r="B195" i="2"/>
  <c r="J194" i="1"/>
  <c r="J194" i="2"/>
  <c r="A194" i="1"/>
  <c r="A194" i="2"/>
  <c r="I194" i="2"/>
  <c r="H194" i="2"/>
  <c r="G194" i="2"/>
  <c r="F194" i="2"/>
  <c r="D194" i="2"/>
  <c r="C194" i="2"/>
  <c r="B194" i="2"/>
  <c r="J193" i="1"/>
  <c r="J193" i="2"/>
  <c r="A193" i="1"/>
  <c r="A193" i="2"/>
  <c r="I193" i="2"/>
  <c r="H193" i="2"/>
  <c r="G193" i="2"/>
  <c r="F193" i="2"/>
  <c r="D193" i="2"/>
  <c r="C193" i="2"/>
  <c r="B193" i="2"/>
  <c r="J192" i="1"/>
  <c r="J192" i="2"/>
  <c r="A192" i="1"/>
  <c r="A192" i="2"/>
  <c r="I192" i="2"/>
  <c r="H192" i="2"/>
  <c r="G192" i="2"/>
  <c r="F192" i="2"/>
  <c r="D192" i="2"/>
  <c r="C192" i="2"/>
  <c r="B192" i="2"/>
  <c r="J191" i="1"/>
  <c r="J191" i="2"/>
  <c r="A191" i="1"/>
  <c r="A191" i="2"/>
  <c r="I191" i="2"/>
  <c r="H191" i="2"/>
  <c r="G191" i="2"/>
  <c r="F191" i="2"/>
  <c r="D191" i="2"/>
  <c r="C191" i="2"/>
  <c r="B191" i="2"/>
  <c r="J190" i="1"/>
  <c r="J190" i="2"/>
  <c r="A190" i="1"/>
  <c r="A190" i="2"/>
  <c r="I190" i="2"/>
  <c r="H190" i="2"/>
  <c r="G190" i="2"/>
  <c r="F190" i="2"/>
  <c r="D190" i="2"/>
  <c r="C190" i="2"/>
  <c r="B190" i="2"/>
  <c r="J189" i="1"/>
  <c r="J189" i="2"/>
  <c r="A189" i="1"/>
  <c r="A189" i="2"/>
  <c r="I189" i="2"/>
  <c r="H189" i="2"/>
  <c r="G189" i="2"/>
  <c r="F189" i="2"/>
  <c r="D189" i="2"/>
  <c r="C189" i="2"/>
  <c r="B189" i="2"/>
  <c r="J188" i="1"/>
  <c r="J188" i="2"/>
  <c r="A188" i="1"/>
  <c r="A188" i="2"/>
  <c r="I188" i="2"/>
  <c r="H188" i="2"/>
  <c r="G188" i="2"/>
  <c r="F188" i="2"/>
  <c r="D188" i="2"/>
  <c r="C188" i="2"/>
  <c r="B188" i="2"/>
  <c r="J187" i="1"/>
  <c r="J187" i="2"/>
  <c r="A187" i="1"/>
  <c r="A187" i="2"/>
  <c r="I187" i="2"/>
  <c r="H187" i="2"/>
  <c r="G187" i="2"/>
  <c r="F187" i="2"/>
  <c r="D187" i="2"/>
  <c r="C187" i="2"/>
  <c r="B187" i="2"/>
  <c r="J186" i="1"/>
  <c r="J186" i="2"/>
  <c r="A186" i="1"/>
  <c r="A186" i="2"/>
  <c r="I186" i="2"/>
  <c r="H186" i="2"/>
  <c r="G186" i="2"/>
  <c r="F186" i="2"/>
  <c r="D186" i="2"/>
  <c r="C186" i="2"/>
  <c r="B186" i="2"/>
  <c r="J185" i="1"/>
  <c r="J185" i="2"/>
  <c r="A185" i="1"/>
  <c r="A185" i="2"/>
  <c r="I185" i="2"/>
  <c r="H185" i="2"/>
  <c r="G185" i="2"/>
  <c r="F185" i="2"/>
  <c r="D185" i="2"/>
  <c r="C185" i="2"/>
  <c r="B185" i="2"/>
  <c r="J184" i="1"/>
  <c r="J184" i="2"/>
  <c r="A184" i="1"/>
  <c r="A184" i="2"/>
  <c r="I184" i="2"/>
  <c r="H184" i="2"/>
  <c r="G184" i="2"/>
  <c r="F184" i="2"/>
  <c r="D184" i="2"/>
  <c r="C184" i="2"/>
  <c r="B184" i="2"/>
  <c r="J183" i="1"/>
  <c r="J183" i="2"/>
  <c r="A183" i="1"/>
  <c r="A183" i="2"/>
  <c r="I183" i="2"/>
  <c r="H183" i="2"/>
  <c r="G183" i="2"/>
  <c r="F183" i="2"/>
  <c r="D183" i="2"/>
  <c r="C183" i="2"/>
  <c r="B183" i="2"/>
  <c r="J182" i="1"/>
  <c r="J182" i="2"/>
  <c r="A182" i="1"/>
  <c r="A182" i="2"/>
  <c r="I182" i="2"/>
  <c r="H182" i="2"/>
  <c r="G182" i="2"/>
  <c r="F182" i="2"/>
  <c r="D182" i="2"/>
  <c r="C182" i="2"/>
  <c r="B182" i="2"/>
  <c r="J181" i="1"/>
  <c r="J181" i="2"/>
  <c r="A181" i="1"/>
  <c r="A181" i="2"/>
  <c r="I181" i="2"/>
  <c r="H181" i="2"/>
  <c r="G181" i="2"/>
  <c r="F181" i="2"/>
  <c r="D181" i="2"/>
  <c r="C181" i="2"/>
  <c r="B181" i="2"/>
  <c r="J180" i="1"/>
  <c r="J180" i="2"/>
  <c r="A180" i="1"/>
  <c r="A180" i="2"/>
  <c r="I180" i="2"/>
  <c r="H180" i="2"/>
  <c r="G180" i="2"/>
  <c r="F180" i="2"/>
  <c r="D180" i="2"/>
  <c r="C180" i="2"/>
  <c r="B180" i="2"/>
  <c r="J179" i="1"/>
  <c r="J179" i="2"/>
  <c r="A179" i="1"/>
  <c r="A179" i="2"/>
  <c r="I179" i="2"/>
  <c r="H179" i="2"/>
  <c r="G179" i="2"/>
  <c r="F179" i="2"/>
  <c r="D179" i="2"/>
  <c r="C179" i="2"/>
  <c r="B179" i="2"/>
  <c r="J178" i="1"/>
  <c r="J178" i="2"/>
  <c r="A178" i="1"/>
  <c r="A178" i="2"/>
  <c r="I178" i="2"/>
  <c r="H178" i="2"/>
  <c r="G178" i="2"/>
  <c r="F178" i="2"/>
  <c r="D178" i="2"/>
  <c r="C178" i="2"/>
  <c r="B178" i="2"/>
  <c r="J177" i="1"/>
  <c r="J177" i="2"/>
  <c r="A177" i="1"/>
  <c r="A177" i="2"/>
  <c r="I177" i="2"/>
  <c r="H177" i="2"/>
  <c r="G177" i="2"/>
  <c r="F177" i="2"/>
  <c r="D177" i="2"/>
  <c r="C177" i="2"/>
  <c r="B177" i="2"/>
  <c r="J176" i="1"/>
  <c r="J176" i="2"/>
  <c r="A176" i="1"/>
  <c r="A176" i="2"/>
  <c r="I176" i="2"/>
  <c r="H176" i="2"/>
  <c r="G176" i="2"/>
  <c r="F176" i="2"/>
  <c r="D176" i="2"/>
  <c r="C176" i="2"/>
  <c r="B176" i="2"/>
  <c r="J175" i="1"/>
  <c r="J175" i="2"/>
  <c r="A175" i="1"/>
  <c r="A175" i="2"/>
  <c r="I175" i="2"/>
  <c r="H175" i="2"/>
  <c r="G175" i="2"/>
  <c r="F175" i="2"/>
  <c r="D175" i="2"/>
  <c r="C175" i="2"/>
  <c r="B175" i="2"/>
  <c r="J174" i="1"/>
  <c r="J174" i="2"/>
  <c r="A174" i="1"/>
  <c r="A174" i="2"/>
  <c r="I174" i="2"/>
  <c r="H174" i="2"/>
  <c r="G174" i="2"/>
  <c r="F174" i="2"/>
  <c r="D174" i="2"/>
  <c r="C174" i="2"/>
  <c r="B174" i="2"/>
  <c r="J173" i="1"/>
  <c r="J173" i="2"/>
  <c r="A173" i="1"/>
  <c r="A173" i="2"/>
  <c r="I173" i="2"/>
  <c r="H173" i="2"/>
  <c r="G173" i="2"/>
  <c r="F173" i="2"/>
  <c r="D173" i="2"/>
  <c r="C173" i="2"/>
  <c r="B173" i="2"/>
  <c r="J172" i="1"/>
  <c r="J172" i="2"/>
  <c r="A172" i="1"/>
  <c r="A172" i="2"/>
  <c r="I172" i="2"/>
  <c r="H172" i="2"/>
  <c r="G172" i="2"/>
  <c r="F172" i="2"/>
  <c r="D172" i="2"/>
  <c r="C172" i="2"/>
  <c r="B172" i="2"/>
  <c r="J171" i="1"/>
  <c r="J171" i="2"/>
  <c r="A171" i="1"/>
  <c r="A171" i="2"/>
  <c r="I171" i="2"/>
  <c r="H171" i="2"/>
  <c r="G171" i="2"/>
  <c r="F171" i="2"/>
  <c r="D171" i="2"/>
  <c r="C171" i="2"/>
  <c r="B171" i="2"/>
  <c r="J170" i="1"/>
  <c r="J170" i="2"/>
  <c r="A170" i="1"/>
  <c r="A170" i="2"/>
  <c r="I170" i="2"/>
  <c r="H170" i="2"/>
  <c r="G170" i="2"/>
  <c r="F170" i="2"/>
  <c r="D170" i="2"/>
  <c r="C170" i="2"/>
  <c r="B170" i="2"/>
  <c r="J169" i="1"/>
  <c r="J169" i="2"/>
  <c r="A169" i="1"/>
  <c r="A169" i="2"/>
  <c r="I169" i="2"/>
  <c r="H169" i="2"/>
  <c r="G169" i="2"/>
  <c r="F169" i="2"/>
  <c r="D169" i="2"/>
  <c r="C169" i="2"/>
  <c r="B169" i="2"/>
  <c r="J168" i="1"/>
  <c r="J168" i="2"/>
  <c r="A168" i="1"/>
  <c r="A168" i="2"/>
  <c r="I168" i="2"/>
  <c r="H168" i="2"/>
  <c r="G168" i="2"/>
  <c r="F168" i="2"/>
  <c r="D168" i="2"/>
  <c r="C168" i="2"/>
  <c r="B168" i="2"/>
  <c r="J167" i="1"/>
  <c r="J167" i="2"/>
  <c r="A167" i="1"/>
  <c r="A167" i="2"/>
  <c r="I167" i="2"/>
  <c r="H167" i="2"/>
  <c r="G167" i="2"/>
  <c r="F167" i="2"/>
  <c r="D167" i="2"/>
  <c r="C167" i="2"/>
  <c r="B167" i="2"/>
  <c r="J166" i="1"/>
  <c r="J166" i="2"/>
  <c r="A166" i="1"/>
  <c r="A166" i="2"/>
  <c r="I166" i="2"/>
  <c r="H166" i="2"/>
  <c r="G166" i="2"/>
  <c r="F166" i="2"/>
  <c r="D166" i="2"/>
  <c r="C166" i="2"/>
  <c r="B166" i="2"/>
  <c r="J165" i="1"/>
  <c r="J165" i="2"/>
  <c r="A165" i="1"/>
  <c r="A165" i="2"/>
  <c r="I165" i="2"/>
  <c r="H165" i="2"/>
  <c r="G165" i="2"/>
  <c r="F165" i="2"/>
  <c r="D165" i="2"/>
  <c r="C165" i="2"/>
  <c r="B165" i="2"/>
  <c r="J164" i="1"/>
  <c r="J164" i="2"/>
  <c r="A164" i="1"/>
  <c r="A164" i="2"/>
  <c r="I164" i="2"/>
  <c r="H164" i="2"/>
  <c r="G164" i="2"/>
  <c r="F164" i="2"/>
  <c r="D164" i="2"/>
  <c r="C164" i="2"/>
  <c r="B164" i="2"/>
  <c r="J163" i="1"/>
  <c r="J163" i="2"/>
  <c r="A163" i="1"/>
  <c r="A163" i="2"/>
  <c r="I163" i="2"/>
  <c r="H163" i="2"/>
  <c r="G163" i="2"/>
  <c r="F163" i="2"/>
  <c r="D163" i="2"/>
  <c r="C163" i="2"/>
  <c r="B163" i="2"/>
  <c r="J162" i="1"/>
  <c r="J162" i="2"/>
  <c r="A162" i="1"/>
  <c r="A162" i="2"/>
  <c r="I162" i="2"/>
  <c r="H162" i="2"/>
  <c r="G162" i="2"/>
  <c r="F162" i="2"/>
  <c r="D162" i="2"/>
  <c r="C162" i="2"/>
  <c r="B162" i="2"/>
  <c r="J161" i="1"/>
  <c r="J161" i="2"/>
  <c r="A161" i="1"/>
  <c r="A161" i="2"/>
  <c r="I161" i="2"/>
  <c r="H161" i="2"/>
  <c r="G161" i="2"/>
  <c r="F161" i="2"/>
  <c r="D161" i="2"/>
  <c r="C161" i="2"/>
  <c r="B161" i="2"/>
  <c r="J160" i="1"/>
  <c r="J160" i="2"/>
  <c r="A160" i="1"/>
  <c r="A160" i="2"/>
  <c r="I160" i="2"/>
  <c r="H160" i="2"/>
  <c r="G160" i="2"/>
  <c r="F160" i="2"/>
  <c r="D160" i="2"/>
  <c r="C160" i="2"/>
  <c r="B160" i="2"/>
  <c r="J159" i="1"/>
  <c r="J159" i="2"/>
  <c r="A159" i="1"/>
  <c r="A159" i="2"/>
  <c r="I159" i="2"/>
  <c r="H159" i="2"/>
  <c r="G159" i="2"/>
  <c r="F159" i="2"/>
  <c r="D159" i="2"/>
  <c r="C159" i="2"/>
  <c r="B159" i="2"/>
  <c r="J158" i="1"/>
  <c r="J158" i="2"/>
  <c r="A158" i="1"/>
  <c r="A158" i="2"/>
  <c r="I158" i="2"/>
  <c r="H158" i="2"/>
  <c r="G158" i="2"/>
  <c r="F158" i="2"/>
  <c r="D158" i="2"/>
  <c r="C158" i="2"/>
  <c r="B158" i="2"/>
  <c r="J157" i="1"/>
  <c r="J157" i="2"/>
  <c r="A157" i="1"/>
  <c r="A157" i="2"/>
  <c r="I157" i="2"/>
  <c r="H157" i="2"/>
  <c r="G157" i="2"/>
  <c r="F157" i="2"/>
  <c r="D157" i="2"/>
  <c r="C157" i="2"/>
  <c r="B157" i="2"/>
  <c r="J156" i="1"/>
  <c r="J156" i="2"/>
  <c r="A156" i="1"/>
  <c r="A156" i="2"/>
  <c r="I156" i="2"/>
  <c r="H156" i="2"/>
  <c r="G156" i="2"/>
  <c r="F156" i="2"/>
  <c r="D156" i="2"/>
  <c r="C156" i="2"/>
  <c r="B156" i="2"/>
  <c r="J155" i="1"/>
  <c r="J155" i="2"/>
  <c r="A155" i="1"/>
  <c r="A155" i="2"/>
  <c r="I155" i="2"/>
  <c r="H155" i="2"/>
  <c r="G155" i="2"/>
  <c r="F155" i="2"/>
  <c r="D155" i="2"/>
  <c r="C155" i="2"/>
  <c r="B155" i="2"/>
  <c r="J154" i="1"/>
  <c r="J154" i="2"/>
  <c r="A154" i="1"/>
  <c r="A154" i="2"/>
  <c r="I154" i="2"/>
  <c r="H154" i="2"/>
  <c r="G154" i="2"/>
  <c r="F154" i="2"/>
  <c r="D154" i="2"/>
  <c r="C154" i="2"/>
  <c r="B154" i="2"/>
  <c r="J153" i="1"/>
  <c r="J153" i="2"/>
  <c r="A153" i="1"/>
  <c r="A153" i="2"/>
  <c r="I153" i="2"/>
  <c r="H153" i="2"/>
  <c r="G153" i="2"/>
  <c r="F153" i="2"/>
  <c r="D153" i="2"/>
  <c r="C153" i="2"/>
  <c r="B153" i="2"/>
  <c r="J152" i="1"/>
  <c r="J152" i="2"/>
  <c r="A152" i="1"/>
  <c r="A152" i="2"/>
  <c r="I152" i="2"/>
  <c r="H152" i="2"/>
  <c r="G152" i="2"/>
  <c r="F152" i="2"/>
  <c r="D152" i="2"/>
  <c r="C152" i="2"/>
  <c r="B152" i="2"/>
  <c r="J151" i="1"/>
  <c r="J151" i="2"/>
  <c r="A151" i="1"/>
  <c r="A151" i="2"/>
  <c r="I151" i="2"/>
  <c r="H151" i="2"/>
  <c r="G151" i="2"/>
  <c r="F151" i="2"/>
  <c r="D151" i="2"/>
  <c r="C151" i="2"/>
  <c r="B151" i="2"/>
  <c r="J150" i="1"/>
  <c r="J150" i="2"/>
  <c r="A150" i="1"/>
  <c r="A150" i="2"/>
  <c r="I150" i="2"/>
  <c r="H150" i="2"/>
  <c r="G150" i="2"/>
  <c r="F150" i="2"/>
  <c r="D150" i="2"/>
  <c r="C150" i="2"/>
  <c r="B150" i="2"/>
  <c r="J149" i="1"/>
  <c r="J149" i="2"/>
  <c r="A149" i="1"/>
  <c r="A149" i="2"/>
  <c r="I149" i="2"/>
  <c r="H149" i="2"/>
  <c r="G149" i="2"/>
  <c r="F149" i="2"/>
  <c r="D149" i="2"/>
  <c r="C149" i="2"/>
  <c r="B149" i="2"/>
  <c r="J148" i="1"/>
  <c r="J148" i="2"/>
  <c r="A148" i="1"/>
  <c r="A148" i="2"/>
  <c r="I148" i="2"/>
  <c r="H148" i="2"/>
  <c r="G148" i="2"/>
  <c r="F148" i="2"/>
  <c r="D148" i="2"/>
  <c r="C148" i="2"/>
  <c r="B148" i="2"/>
  <c r="J147" i="1"/>
  <c r="J147" i="2"/>
  <c r="A147" i="1"/>
  <c r="A147" i="2"/>
  <c r="I147" i="2"/>
  <c r="H147" i="2"/>
  <c r="G147" i="2"/>
  <c r="F147" i="2"/>
  <c r="D147" i="2"/>
  <c r="C147" i="2"/>
  <c r="B147" i="2"/>
  <c r="J146" i="1"/>
  <c r="J146" i="2"/>
  <c r="A146" i="1"/>
  <c r="A146" i="2"/>
  <c r="I146" i="2"/>
  <c r="H146" i="2"/>
  <c r="G146" i="2"/>
  <c r="F146" i="2"/>
  <c r="D146" i="2"/>
  <c r="C146" i="2"/>
  <c r="B146" i="2"/>
  <c r="J145" i="1"/>
  <c r="J145" i="2"/>
  <c r="A145" i="1"/>
  <c r="A145" i="2"/>
  <c r="I145" i="2"/>
  <c r="H145" i="2"/>
  <c r="G145" i="2"/>
  <c r="F145" i="2"/>
  <c r="D145" i="2"/>
  <c r="C145" i="2"/>
  <c r="B145" i="2"/>
  <c r="J144" i="1"/>
  <c r="J144" i="2"/>
  <c r="A144" i="1"/>
  <c r="A144" i="2"/>
  <c r="I144" i="2"/>
  <c r="H144" i="2"/>
  <c r="G144" i="2"/>
  <c r="F144" i="2"/>
  <c r="D144" i="2"/>
  <c r="C144" i="2"/>
  <c r="B144" i="2"/>
  <c r="J143" i="1"/>
  <c r="J143" i="2"/>
  <c r="A143" i="1"/>
  <c r="A143" i="2"/>
  <c r="I143" i="2"/>
  <c r="H143" i="2"/>
  <c r="G143" i="2"/>
  <c r="F143" i="2"/>
  <c r="D143" i="2"/>
  <c r="C143" i="2"/>
  <c r="B143" i="2"/>
  <c r="J142" i="1"/>
  <c r="J142" i="2"/>
  <c r="A142" i="1"/>
  <c r="A142" i="2"/>
  <c r="I142" i="2"/>
  <c r="H142" i="2"/>
  <c r="G142" i="2"/>
  <c r="F142" i="2"/>
  <c r="D142" i="2"/>
  <c r="C142" i="2"/>
  <c r="B142" i="2"/>
  <c r="J141" i="1"/>
  <c r="J141" i="2"/>
  <c r="A141" i="1"/>
  <c r="A141" i="2"/>
  <c r="I141" i="2"/>
  <c r="H141" i="2"/>
  <c r="G141" i="2"/>
  <c r="F141" i="2"/>
  <c r="D141" i="2"/>
  <c r="C141" i="2"/>
  <c r="B141" i="2"/>
  <c r="J140" i="1"/>
  <c r="J140" i="2"/>
  <c r="A140" i="1"/>
  <c r="A140" i="2"/>
  <c r="I140" i="2"/>
  <c r="H140" i="2"/>
  <c r="G140" i="2"/>
  <c r="F140" i="2"/>
  <c r="D140" i="2"/>
  <c r="C140" i="2"/>
  <c r="B140" i="2"/>
  <c r="J139" i="1"/>
  <c r="J139" i="2"/>
  <c r="A139" i="1"/>
  <c r="A139" i="2"/>
  <c r="I139" i="2"/>
  <c r="H139" i="2"/>
  <c r="G139" i="2"/>
  <c r="F139" i="2"/>
  <c r="D139" i="2"/>
  <c r="C139" i="2"/>
  <c r="B139" i="2"/>
  <c r="J138" i="1"/>
  <c r="J138" i="2"/>
  <c r="A138" i="1"/>
  <c r="A138" i="2"/>
  <c r="I138" i="2"/>
  <c r="H138" i="2"/>
  <c r="G138" i="2"/>
  <c r="F138" i="2"/>
  <c r="D138" i="2"/>
  <c r="C138" i="2"/>
  <c r="B138" i="2"/>
  <c r="J137" i="1"/>
  <c r="J137" i="2"/>
  <c r="A137" i="1"/>
  <c r="A137" i="2"/>
  <c r="I137" i="2"/>
  <c r="H137" i="2"/>
  <c r="G137" i="2"/>
  <c r="F137" i="2"/>
  <c r="D137" i="2"/>
  <c r="C137" i="2"/>
  <c r="B137" i="2"/>
  <c r="J136" i="1"/>
  <c r="J136" i="2"/>
  <c r="A136" i="1"/>
  <c r="A136" i="2"/>
  <c r="I136" i="2"/>
  <c r="H136" i="2"/>
  <c r="G136" i="2"/>
  <c r="F136" i="2"/>
  <c r="D136" i="2"/>
  <c r="C136" i="2"/>
  <c r="B136" i="2"/>
  <c r="J135" i="1"/>
  <c r="J135" i="2"/>
  <c r="A135" i="1"/>
  <c r="A135" i="2"/>
  <c r="I135" i="2"/>
  <c r="H135" i="2"/>
  <c r="G135" i="2"/>
  <c r="F135" i="2"/>
  <c r="D135" i="2"/>
  <c r="C135" i="2"/>
  <c r="B135" i="2"/>
  <c r="J134" i="1"/>
  <c r="J134" i="2"/>
  <c r="A134" i="1"/>
  <c r="A134" i="2"/>
  <c r="I134" i="2"/>
  <c r="H134" i="2"/>
  <c r="G134" i="2"/>
  <c r="F134" i="2"/>
  <c r="D134" i="2"/>
  <c r="C134" i="2"/>
  <c r="B134" i="2"/>
  <c r="J133" i="1"/>
  <c r="J133" i="2"/>
  <c r="A133" i="1"/>
  <c r="A133" i="2"/>
  <c r="I133" i="2"/>
  <c r="H133" i="2"/>
  <c r="G133" i="2"/>
  <c r="F133" i="2"/>
  <c r="D133" i="2"/>
  <c r="C133" i="2"/>
  <c r="B133" i="2"/>
  <c r="J132" i="1"/>
  <c r="J132" i="2"/>
  <c r="A132" i="1"/>
  <c r="A132" i="2"/>
  <c r="I132" i="2"/>
  <c r="H132" i="2"/>
  <c r="G132" i="2"/>
  <c r="F132" i="2"/>
  <c r="D132" i="2"/>
  <c r="C132" i="2"/>
  <c r="B132" i="2"/>
  <c r="J131" i="1"/>
  <c r="J131" i="2"/>
  <c r="A131" i="1"/>
  <c r="A131" i="2"/>
  <c r="I131" i="2"/>
  <c r="H131" i="2"/>
  <c r="G131" i="2"/>
  <c r="F131" i="2"/>
  <c r="D131" i="2"/>
  <c r="C131" i="2"/>
  <c r="B131" i="2"/>
  <c r="J130" i="1"/>
  <c r="J130" i="2"/>
  <c r="A130" i="1"/>
  <c r="A130" i="2"/>
  <c r="I130" i="2"/>
  <c r="H130" i="2"/>
  <c r="G130" i="2"/>
  <c r="F130" i="2"/>
  <c r="D130" i="2"/>
  <c r="C130" i="2"/>
  <c r="B130" i="2"/>
  <c r="J129" i="1"/>
  <c r="J129" i="2"/>
  <c r="A129" i="1"/>
  <c r="A129" i="2"/>
  <c r="I129" i="2"/>
  <c r="H129" i="2"/>
  <c r="G129" i="2"/>
  <c r="F129" i="2"/>
  <c r="D129" i="2"/>
  <c r="C129" i="2"/>
  <c r="B129" i="2"/>
  <c r="J128" i="1"/>
  <c r="J128" i="2"/>
  <c r="A128" i="1"/>
  <c r="A128" i="2"/>
  <c r="I128" i="2"/>
  <c r="H128" i="2"/>
  <c r="G128" i="2"/>
  <c r="F128" i="2"/>
  <c r="D128" i="2"/>
  <c r="C128" i="2"/>
  <c r="B128" i="2"/>
  <c r="J127" i="1"/>
  <c r="J127" i="2"/>
  <c r="A127" i="1"/>
  <c r="A127" i="2"/>
  <c r="I127" i="2"/>
  <c r="H127" i="2"/>
  <c r="G127" i="2"/>
  <c r="F127" i="2"/>
  <c r="D127" i="2"/>
  <c r="C127" i="2"/>
  <c r="B127" i="2"/>
  <c r="J126" i="1"/>
  <c r="J126" i="2"/>
  <c r="A126" i="1"/>
  <c r="A126" i="2"/>
  <c r="I126" i="2"/>
  <c r="H126" i="2"/>
  <c r="G126" i="2"/>
  <c r="F126" i="2"/>
  <c r="D126" i="2"/>
  <c r="C126" i="2"/>
  <c r="B126" i="2"/>
  <c r="J125" i="1"/>
  <c r="J125" i="2"/>
  <c r="A125" i="1"/>
  <c r="A125" i="2"/>
  <c r="I125" i="2"/>
  <c r="H125" i="2"/>
  <c r="G125" i="2"/>
  <c r="F125" i="2"/>
  <c r="D125" i="2"/>
  <c r="C125" i="2"/>
  <c r="B125" i="2"/>
  <c r="J124" i="1"/>
  <c r="J124" i="2"/>
  <c r="A124" i="1"/>
  <c r="A124" i="2"/>
  <c r="I124" i="2"/>
  <c r="H124" i="2"/>
  <c r="G124" i="2"/>
  <c r="F124" i="2"/>
  <c r="D124" i="2"/>
  <c r="C124" i="2"/>
  <c r="B124" i="2"/>
  <c r="J123" i="1"/>
  <c r="J123" i="2"/>
  <c r="A123" i="1"/>
  <c r="A123" i="2"/>
  <c r="I123" i="2"/>
  <c r="H123" i="2"/>
  <c r="G123" i="2"/>
  <c r="F123" i="2"/>
  <c r="D123" i="2"/>
  <c r="C123" i="2"/>
  <c r="B123" i="2"/>
  <c r="J122" i="1"/>
  <c r="J122" i="2"/>
  <c r="A122" i="1"/>
  <c r="A122" i="2"/>
  <c r="I122" i="2"/>
  <c r="H122" i="2"/>
  <c r="G122" i="2"/>
  <c r="F122" i="2"/>
  <c r="D122" i="2"/>
  <c r="C122" i="2"/>
  <c r="B122" i="2"/>
  <c r="J121" i="1"/>
  <c r="J121" i="2"/>
  <c r="A121" i="1"/>
  <c r="A121" i="2"/>
  <c r="I121" i="2"/>
  <c r="H121" i="2"/>
  <c r="G121" i="2"/>
  <c r="F121" i="2"/>
  <c r="D121" i="2"/>
  <c r="C121" i="2"/>
  <c r="B121" i="2"/>
  <c r="J120" i="1"/>
  <c r="J120" i="2"/>
  <c r="A120" i="1"/>
  <c r="A120" i="2"/>
  <c r="I120" i="2"/>
  <c r="H120" i="2"/>
  <c r="G120" i="2"/>
  <c r="F120" i="2"/>
  <c r="D120" i="2"/>
  <c r="C120" i="2"/>
  <c r="B120" i="2"/>
  <c r="J119" i="1"/>
  <c r="J119" i="2"/>
  <c r="A119" i="1"/>
  <c r="A119" i="2"/>
  <c r="I119" i="2"/>
  <c r="H119" i="2"/>
  <c r="G119" i="2"/>
  <c r="F119" i="2"/>
  <c r="D119" i="2"/>
  <c r="C119" i="2"/>
  <c r="B119" i="2"/>
  <c r="J118" i="1"/>
  <c r="J118" i="2"/>
  <c r="A118" i="1"/>
  <c r="A118" i="2"/>
  <c r="I118" i="2"/>
  <c r="H118" i="2"/>
  <c r="G118" i="2"/>
  <c r="F118" i="2"/>
  <c r="D118" i="2"/>
  <c r="C118" i="2"/>
  <c r="B118" i="2"/>
  <c r="J117" i="1"/>
  <c r="J117" i="2"/>
  <c r="A117" i="1"/>
  <c r="A117" i="2"/>
  <c r="I117" i="2"/>
  <c r="H117" i="2"/>
  <c r="G117" i="2"/>
  <c r="F117" i="2"/>
  <c r="D117" i="2"/>
  <c r="C117" i="2"/>
  <c r="B117" i="2"/>
  <c r="J116" i="1"/>
  <c r="J116" i="2"/>
  <c r="A116" i="1"/>
  <c r="A116" i="2"/>
  <c r="I116" i="2"/>
  <c r="H116" i="2"/>
  <c r="G116" i="2"/>
  <c r="F116" i="2"/>
  <c r="D116" i="2"/>
  <c r="C116" i="2"/>
  <c r="B116" i="2"/>
  <c r="J115" i="1"/>
  <c r="J115" i="2"/>
  <c r="A115" i="1"/>
  <c r="A115" i="2"/>
  <c r="I115" i="2"/>
  <c r="H115" i="2"/>
  <c r="G115" i="2"/>
  <c r="F115" i="2"/>
  <c r="D115" i="2"/>
  <c r="C115" i="2"/>
  <c r="B115" i="2"/>
  <c r="J114" i="1"/>
  <c r="J114" i="2"/>
  <c r="A114" i="1"/>
  <c r="A114" i="2"/>
  <c r="I114" i="2"/>
  <c r="H114" i="2"/>
  <c r="G114" i="2"/>
  <c r="F114" i="2"/>
  <c r="D114" i="2"/>
  <c r="C114" i="2"/>
  <c r="B114" i="2"/>
  <c r="J113" i="1"/>
  <c r="J113" i="2"/>
  <c r="A113" i="1"/>
  <c r="A113" i="2"/>
  <c r="I113" i="2"/>
  <c r="H113" i="2"/>
  <c r="G113" i="2"/>
  <c r="F113" i="2"/>
  <c r="D113" i="2"/>
  <c r="C113" i="2"/>
  <c r="B113" i="2"/>
  <c r="J112" i="1"/>
  <c r="J112" i="2"/>
  <c r="A112" i="1"/>
  <c r="A112" i="2"/>
  <c r="I112" i="2"/>
  <c r="H112" i="2"/>
  <c r="G112" i="2"/>
  <c r="F112" i="2"/>
  <c r="D112" i="2"/>
  <c r="C112" i="2"/>
  <c r="B112" i="2"/>
  <c r="J111" i="1"/>
  <c r="J111" i="2"/>
  <c r="A111" i="1"/>
  <c r="A111" i="2"/>
  <c r="I111" i="2"/>
  <c r="H111" i="2"/>
  <c r="G111" i="2"/>
  <c r="F111" i="2"/>
  <c r="D111" i="2"/>
  <c r="C111" i="2"/>
  <c r="B111" i="2"/>
  <c r="J110" i="1"/>
  <c r="J110" i="2"/>
  <c r="A110" i="1"/>
  <c r="A110" i="2"/>
  <c r="I110" i="2"/>
  <c r="H110" i="2"/>
  <c r="G110" i="2"/>
  <c r="F110" i="2"/>
  <c r="D110" i="2"/>
  <c r="C110" i="2"/>
  <c r="B110" i="2"/>
  <c r="J109" i="1"/>
  <c r="J109" i="2"/>
  <c r="A109" i="1"/>
  <c r="A109" i="2"/>
  <c r="I109" i="2"/>
  <c r="H109" i="2"/>
  <c r="G109" i="2"/>
  <c r="F109" i="2"/>
  <c r="D109" i="2"/>
  <c r="C109" i="2"/>
  <c r="B109" i="2"/>
  <c r="J108" i="1"/>
  <c r="J108" i="2"/>
  <c r="A108" i="1"/>
  <c r="A108" i="2"/>
  <c r="I108" i="2"/>
  <c r="H108" i="2"/>
  <c r="G108" i="2"/>
  <c r="F108" i="2"/>
  <c r="D108" i="2"/>
  <c r="C108" i="2"/>
  <c r="B108" i="2"/>
  <c r="J107" i="1"/>
  <c r="J107" i="2"/>
  <c r="A107" i="1"/>
  <c r="A107" i="2"/>
  <c r="I107" i="2"/>
  <c r="H107" i="2"/>
  <c r="G107" i="2"/>
  <c r="F107" i="2"/>
  <c r="D107" i="2"/>
  <c r="C107" i="2"/>
  <c r="B107" i="2"/>
  <c r="J106" i="1"/>
  <c r="J106" i="2"/>
  <c r="A106" i="1"/>
  <c r="A106" i="2"/>
  <c r="I106" i="2"/>
  <c r="H106" i="2"/>
  <c r="G106" i="2"/>
  <c r="F106" i="2"/>
  <c r="D106" i="2"/>
  <c r="C106" i="2"/>
  <c r="B106" i="2"/>
  <c r="J105" i="1"/>
  <c r="J105" i="2"/>
  <c r="A105" i="1"/>
  <c r="A105" i="2"/>
  <c r="I105" i="2"/>
  <c r="H105" i="2"/>
  <c r="G105" i="2"/>
  <c r="F105" i="2"/>
  <c r="D105" i="2"/>
  <c r="C105" i="2"/>
  <c r="B105" i="2"/>
  <c r="J104" i="1"/>
  <c r="J104" i="2"/>
  <c r="A104" i="1"/>
  <c r="A104" i="2"/>
  <c r="I104" i="2"/>
  <c r="H104" i="2"/>
  <c r="G104" i="2"/>
  <c r="F104" i="2"/>
  <c r="D104" i="2"/>
  <c r="C104" i="2"/>
  <c r="B104" i="2"/>
  <c r="J103" i="1"/>
  <c r="J103" i="2"/>
  <c r="A103" i="1"/>
  <c r="A103" i="2"/>
  <c r="I103" i="2"/>
  <c r="H103" i="2"/>
  <c r="G103" i="2"/>
  <c r="F103" i="2"/>
  <c r="D103" i="2"/>
  <c r="C103" i="2"/>
  <c r="B103" i="2"/>
  <c r="J102" i="1"/>
  <c r="J102" i="2"/>
  <c r="A102" i="1"/>
  <c r="A102" i="2"/>
  <c r="I102" i="2"/>
  <c r="H102" i="2"/>
  <c r="G102" i="2"/>
  <c r="F102" i="2"/>
  <c r="D102" i="2"/>
  <c r="C102" i="2"/>
  <c r="B102" i="2"/>
  <c r="J101" i="1"/>
  <c r="J101" i="2"/>
  <c r="A101" i="1"/>
  <c r="A101" i="2"/>
  <c r="I101" i="2"/>
  <c r="H101" i="2"/>
  <c r="G101" i="2"/>
  <c r="F101" i="2"/>
  <c r="D101" i="2"/>
  <c r="C101" i="2"/>
  <c r="B101" i="2"/>
  <c r="J100" i="1"/>
  <c r="J100" i="2"/>
  <c r="A100" i="1"/>
  <c r="A100" i="2"/>
  <c r="I100" i="2"/>
  <c r="H100" i="2"/>
  <c r="G100" i="2"/>
  <c r="F100" i="2"/>
  <c r="D100" i="2"/>
  <c r="C100" i="2"/>
  <c r="B100" i="2"/>
  <c r="J99" i="1"/>
  <c r="J99" i="2"/>
  <c r="A99" i="1"/>
  <c r="A99" i="2"/>
  <c r="I99" i="2"/>
  <c r="H99" i="2"/>
  <c r="G99" i="2"/>
  <c r="F99" i="2"/>
  <c r="D99" i="2"/>
  <c r="C99" i="2"/>
  <c r="B99" i="2"/>
  <c r="J98" i="1"/>
  <c r="J98" i="2"/>
  <c r="A98" i="1"/>
  <c r="A98" i="2"/>
  <c r="I98" i="2"/>
  <c r="H98" i="2"/>
  <c r="G98" i="2"/>
  <c r="F98" i="2"/>
  <c r="D98" i="2"/>
  <c r="C98" i="2"/>
  <c r="B98" i="2"/>
  <c r="J97" i="1"/>
  <c r="J97" i="2"/>
  <c r="A97" i="1"/>
  <c r="A97" i="2"/>
  <c r="I97" i="2"/>
  <c r="H97" i="2"/>
  <c r="G97" i="2"/>
  <c r="F97" i="2"/>
  <c r="D97" i="2"/>
  <c r="C97" i="2"/>
  <c r="B97" i="2"/>
  <c r="J96" i="1"/>
  <c r="J96" i="2"/>
  <c r="A96" i="1"/>
  <c r="A96" i="2"/>
  <c r="I96" i="2"/>
  <c r="H96" i="2"/>
  <c r="G96" i="2"/>
  <c r="F96" i="2"/>
  <c r="D96" i="2"/>
  <c r="C96" i="2"/>
  <c r="B96" i="2"/>
  <c r="J95" i="1"/>
  <c r="J95" i="2"/>
  <c r="A95" i="1"/>
  <c r="A95" i="2"/>
  <c r="I95" i="2"/>
  <c r="H95" i="2"/>
  <c r="G95" i="2"/>
  <c r="F95" i="2"/>
  <c r="D95" i="2"/>
  <c r="C95" i="2"/>
  <c r="B95" i="2"/>
  <c r="J94" i="1"/>
  <c r="J94" i="2"/>
  <c r="A94" i="1"/>
  <c r="A94" i="2"/>
  <c r="I94" i="2"/>
  <c r="H94" i="2"/>
  <c r="G94" i="2"/>
  <c r="F94" i="2"/>
  <c r="D94" i="2"/>
  <c r="C94" i="2"/>
  <c r="B94" i="2"/>
  <c r="J93" i="1"/>
  <c r="J93" i="2"/>
  <c r="A93" i="1"/>
  <c r="A93" i="2"/>
  <c r="I93" i="2"/>
  <c r="H93" i="2"/>
  <c r="G93" i="2"/>
  <c r="F93" i="2"/>
  <c r="D93" i="2"/>
  <c r="C93" i="2"/>
  <c r="B93" i="2"/>
  <c r="J92" i="1"/>
  <c r="J92" i="2"/>
  <c r="A92" i="1"/>
  <c r="A92" i="2"/>
  <c r="I92" i="2"/>
  <c r="H92" i="2"/>
  <c r="G92" i="2"/>
  <c r="F92" i="2"/>
  <c r="D92" i="2"/>
  <c r="C92" i="2"/>
  <c r="B92" i="2"/>
  <c r="J91" i="1"/>
  <c r="J91" i="2"/>
  <c r="A91" i="1"/>
  <c r="A91" i="2"/>
  <c r="I91" i="2"/>
  <c r="H91" i="2"/>
  <c r="G91" i="2"/>
  <c r="F91" i="2"/>
  <c r="D91" i="2"/>
  <c r="C91" i="2"/>
  <c r="B91" i="2"/>
  <c r="J90" i="1"/>
  <c r="J90" i="2"/>
  <c r="A90" i="1"/>
  <c r="A90" i="2"/>
  <c r="I90" i="2"/>
  <c r="H90" i="2"/>
  <c r="G90" i="2"/>
  <c r="F90" i="2"/>
  <c r="D90" i="2"/>
  <c r="C90" i="2"/>
  <c r="B90" i="2"/>
  <c r="J89" i="1"/>
  <c r="J89" i="2"/>
  <c r="A89" i="1"/>
  <c r="A89" i="2"/>
  <c r="I89" i="2"/>
  <c r="H89" i="2"/>
  <c r="G89" i="2"/>
  <c r="F89" i="2"/>
  <c r="D89" i="2"/>
  <c r="C89" i="2"/>
  <c r="B89" i="2"/>
  <c r="J88" i="1"/>
  <c r="J88" i="2"/>
  <c r="A88" i="1"/>
  <c r="A88" i="2"/>
  <c r="I88" i="2"/>
  <c r="H88" i="2"/>
  <c r="G88" i="2"/>
  <c r="F88" i="2"/>
  <c r="D88" i="2"/>
  <c r="C88" i="2"/>
  <c r="B88" i="2"/>
  <c r="J87" i="1"/>
  <c r="J87" i="2"/>
  <c r="A87" i="1"/>
  <c r="A87" i="2"/>
  <c r="I87" i="2"/>
  <c r="H87" i="2"/>
  <c r="G87" i="2"/>
  <c r="F87" i="2"/>
  <c r="D87" i="2"/>
  <c r="C87" i="2"/>
  <c r="B87" i="2"/>
  <c r="J86" i="1"/>
  <c r="J86" i="2"/>
  <c r="A86" i="1"/>
  <c r="A86" i="2"/>
  <c r="I86" i="2"/>
  <c r="H86" i="2"/>
  <c r="G86" i="2"/>
  <c r="F86" i="2"/>
  <c r="D86" i="2"/>
  <c r="C86" i="2"/>
  <c r="B86" i="2"/>
  <c r="J85" i="1"/>
  <c r="J85" i="2"/>
  <c r="A85" i="1"/>
  <c r="A85" i="2"/>
  <c r="I85" i="2"/>
  <c r="H85" i="2"/>
  <c r="G85" i="2"/>
  <c r="F85" i="2"/>
  <c r="D85" i="2"/>
  <c r="C85" i="2"/>
  <c r="B85" i="2"/>
  <c r="J84" i="1"/>
  <c r="J84" i="2"/>
  <c r="A84" i="1"/>
  <c r="A84" i="2"/>
  <c r="I84" i="2"/>
  <c r="H84" i="2"/>
  <c r="G84" i="2"/>
  <c r="F84" i="2"/>
  <c r="D84" i="2"/>
  <c r="C84" i="2"/>
  <c r="B84" i="2"/>
  <c r="J83" i="1"/>
  <c r="J83" i="2"/>
  <c r="A83" i="1"/>
  <c r="A83" i="2"/>
  <c r="I83" i="2"/>
  <c r="H83" i="2"/>
  <c r="G83" i="2"/>
  <c r="F83" i="2"/>
  <c r="D83" i="2"/>
  <c r="C83" i="2"/>
  <c r="B83" i="2"/>
  <c r="J82" i="1"/>
  <c r="J82" i="2"/>
  <c r="A82" i="1"/>
  <c r="A82" i="2"/>
  <c r="I82" i="2"/>
  <c r="H82" i="2"/>
  <c r="G82" i="2"/>
  <c r="F82" i="2"/>
  <c r="D82" i="2"/>
  <c r="C82" i="2"/>
  <c r="B82" i="2"/>
  <c r="J81" i="1"/>
  <c r="J81" i="2"/>
  <c r="A81" i="1"/>
  <c r="A81" i="2"/>
  <c r="I81" i="2"/>
  <c r="H81" i="2"/>
  <c r="G81" i="2"/>
  <c r="F81" i="2"/>
  <c r="D81" i="2"/>
  <c r="C81" i="2"/>
  <c r="B81" i="2"/>
  <c r="J80" i="1"/>
  <c r="J80" i="2"/>
  <c r="A80" i="1"/>
  <c r="A80" i="2"/>
  <c r="I80" i="2"/>
  <c r="H80" i="2"/>
  <c r="G80" i="2"/>
  <c r="F80" i="2"/>
  <c r="D80" i="2"/>
  <c r="C80" i="2"/>
  <c r="B80" i="2"/>
  <c r="J79" i="1"/>
  <c r="J79" i="2"/>
  <c r="A79" i="1"/>
  <c r="A79" i="2"/>
  <c r="I79" i="2"/>
  <c r="H79" i="2"/>
  <c r="G79" i="2"/>
  <c r="F79" i="2"/>
  <c r="D79" i="2"/>
  <c r="C79" i="2"/>
  <c r="B79" i="2"/>
  <c r="J78" i="1"/>
  <c r="J78" i="2"/>
  <c r="A78" i="1"/>
  <c r="A78" i="2"/>
  <c r="I78" i="2"/>
  <c r="H78" i="2"/>
  <c r="G78" i="2"/>
  <c r="F78" i="2"/>
  <c r="D78" i="2"/>
  <c r="C78" i="2"/>
  <c r="B78" i="2"/>
  <c r="J77" i="1"/>
  <c r="J77" i="2"/>
  <c r="A77" i="1"/>
  <c r="A77" i="2"/>
  <c r="I77" i="2"/>
  <c r="H77" i="2"/>
  <c r="G77" i="2"/>
  <c r="F77" i="2"/>
  <c r="D77" i="2"/>
  <c r="C77" i="2"/>
  <c r="B77" i="2"/>
  <c r="J76" i="1"/>
  <c r="J76" i="2"/>
  <c r="A76" i="1"/>
  <c r="A76" i="2"/>
  <c r="I76" i="2"/>
  <c r="H76" i="2"/>
  <c r="G76" i="2"/>
  <c r="F76" i="2"/>
  <c r="D76" i="2"/>
  <c r="C76" i="2"/>
  <c r="B76" i="2"/>
  <c r="J75" i="1"/>
  <c r="J75" i="2"/>
  <c r="A75" i="1"/>
  <c r="A75" i="2"/>
  <c r="I75" i="2"/>
  <c r="H75" i="2"/>
  <c r="G75" i="2"/>
  <c r="F75" i="2"/>
  <c r="D75" i="2"/>
  <c r="C75" i="2"/>
  <c r="B75" i="2"/>
  <c r="J74" i="1"/>
  <c r="J74" i="2"/>
  <c r="A74" i="1"/>
  <c r="A74" i="2"/>
  <c r="I74" i="2"/>
  <c r="H74" i="2"/>
  <c r="G74" i="2"/>
  <c r="F74" i="2"/>
  <c r="D74" i="2"/>
  <c r="C74" i="2"/>
  <c r="B74" i="2"/>
  <c r="J73" i="1"/>
  <c r="J73" i="2"/>
  <c r="A73" i="1"/>
  <c r="A73" i="2"/>
  <c r="I73" i="2"/>
  <c r="H73" i="2"/>
  <c r="G73" i="2"/>
  <c r="F73" i="2"/>
  <c r="D73" i="2"/>
  <c r="C73" i="2"/>
  <c r="B73" i="2"/>
  <c r="J72" i="1"/>
  <c r="J72" i="2"/>
  <c r="A72" i="1"/>
  <c r="A72" i="2"/>
  <c r="I72" i="2"/>
  <c r="H72" i="2"/>
  <c r="G72" i="2"/>
  <c r="F72" i="2"/>
  <c r="D72" i="2"/>
  <c r="C72" i="2"/>
  <c r="B72" i="2"/>
  <c r="J71" i="1"/>
  <c r="J71" i="2"/>
  <c r="A71" i="1"/>
  <c r="A71" i="2"/>
  <c r="I71" i="2"/>
  <c r="H71" i="2"/>
  <c r="G71" i="2"/>
  <c r="F71" i="2"/>
  <c r="D71" i="2"/>
  <c r="C71" i="2"/>
  <c r="B71" i="2"/>
  <c r="J70" i="1"/>
  <c r="J70" i="2"/>
  <c r="A70" i="1"/>
  <c r="A70" i="2"/>
  <c r="I70" i="2"/>
  <c r="H70" i="2"/>
  <c r="G70" i="2"/>
  <c r="F70" i="2"/>
  <c r="D70" i="2"/>
  <c r="C70" i="2"/>
  <c r="B70" i="2"/>
  <c r="J69" i="1"/>
  <c r="J69" i="2"/>
  <c r="A69" i="1"/>
  <c r="A69" i="2"/>
  <c r="I69" i="2"/>
  <c r="H69" i="2"/>
  <c r="G69" i="2"/>
  <c r="F69" i="2"/>
  <c r="D69" i="2"/>
  <c r="C69" i="2"/>
  <c r="B69" i="2"/>
  <c r="J68" i="1"/>
  <c r="J68" i="2"/>
  <c r="A68" i="1"/>
  <c r="A68" i="2"/>
  <c r="I68" i="2"/>
  <c r="H68" i="2"/>
  <c r="G68" i="2"/>
  <c r="F68" i="2"/>
  <c r="D68" i="2"/>
  <c r="C68" i="2"/>
  <c r="B68" i="2"/>
  <c r="J67" i="1"/>
  <c r="J67" i="2"/>
  <c r="A67" i="1"/>
  <c r="A67" i="2"/>
  <c r="I67" i="2"/>
  <c r="H67" i="2"/>
  <c r="G67" i="2"/>
  <c r="F67" i="2"/>
  <c r="D67" i="2"/>
  <c r="C67" i="2"/>
  <c r="B67" i="2"/>
  <c r="J66" i="1"/>
  <c r="J66" i="2"/>
  <c r="A66" i="1"/>
  <c r="A66" i="2"/>
  <c r="I66" i="2"/>
  <c r="H66" i="2"/>
  <c r="G66" i="2"/>
  <c r="F66" i="2"/>
  <c r="D66" i="2"/>
  <c r="C66" i="2"/>
  <c r="B66" i="2"/>
  <c r="J65" i="1"/>
  <c r="J65" i="2"/>
  <c r="A65" i="1"/>
  <c r="A65" i="2"/>
  <c r="I65" i="2"/>
  <c r="H65" i="2"/>
  <c r="G65" i="2"/>
  <c r="F65" i="2"/>
  <c r="D65" i="2"/>
  <c r="C65" i="2"/>
  <c r="B65" i="2"/>
  <c r="J64" i="1"/>
  <c r="J64" i="2"/>
  <c r="A64" i="1"/>
  <c r="A64" i="2"/>
  <c r="I64" i="2"/>
  <c r="H64" i="2"/>
  <c r="G64" i="2"/>
  <c r="F64" i="2"/>
  <c r="D64" i="2"/>
  <c r="C64" i="2"/>
  <c r="B64" i="2"/>
  <c r="J63" i="1"/>
  <c r="J63" i="2"/>
  <c r="A63" i="1"/>
  <c r="A63" i="2"/>
  <c r="I63" i="2"/>
  <c r="H63" i="2"/>
  <c r="G63" i="2"/>
  <c r="F63" i="2"/>
  <c r="D63" i="2"/>
  <c r="C63" i="2"/>
  <c r="B63" i="2"/>
  <c r="J62" i="1"/>
  <c r="J62" i="2"/>
  <c r="A62" i="1"/>
  <c r="A62" i="2"/>
  <c r="I62" i="2"/>
  <c r="H62" i="2"/>
  <c r="G62" i="2"/>
  <c r="F62" i="2"/>
  <c r="D62" i="2"/>
  <c r="C62" i="2"/>
  <c r="B62" i="2"/>
  <c r="J61" i="1"/>
  <c r="J61" i="2"/>
  <c r="A61" i="1"/>
  <c r="A61" i="2"/>
  <c r="I61" i="2"/>
  <c r="H61" i="2"/>
  <c r="G61" i="2"/>
  <c r="F61" i="2"/>
  <c r="D61" i="2"/>
  <c r="C61" i="2"/>
  <c r="B61" i="2"/>
  <c r="J60" i="1"/>
  <c r="J60" i="2"/>
  <c r="A60" i="1"/>
  <c r="A60" i="2"/>
  <c r="I60" i="2"/>
  <c r="H60" i="2"/>
  <c r="G60" i="2"/>
  <c r="F60" i="2"/>
  <c r="D60" i="2"/>
  <c r="C60" i="2"/>
  <c r="B60" i="2"/>
  <c r="J59" i="1"/>
  <c r="J59" i="2"/>
  <c r="A59" i="1"/>
  <c r="A59" i="2"/>
  <c r="I59" i="2"/>
  <c r="H59" i="2"/>
  <c r="G59" i="2"/>
  <c r="F59" i="2"/>
  <c r="D59" i="2"/>
  <c r="C59" i="2"/>
  <c r="B59" i="2"/>
  <c r="J58" i="1"/>
  <c r="J58" i="2"/>
  <c r="A58" i="1"/>
  <c r="A58" i="2"/>
  <c r="I58" i="2"/>
  <c r="H58" i="2"/>
  <c r="G58" i="2"/>
  <c r="F58" i="2"/>
  <c r="D58" i="2"/>
  <c r="C58" i="2"/>
  <c r="B58" i="2"/>
  <c r="J57" i="1"/>
  <c r="J57" i="2"/>
  <c r="A57" i="1"/>
  <c r="A57" i="2"/>
  <c r="I57" i="2"/>
  <c r="H57" i="2"/>
  <c r="G57" i="2"/>
  <c r="F57" i="2"/>
  <c r="D57" i="2"/>
  <c r="C57" i="2"/>
  <c r="B57" i="2"/>
  <c r="J56" i="1"/>
  <c r="J56" i="2"/>
  <c r="A56" i="1"/>
  <c r="A56" i="2"/>
  <c r="I56" i="2"/>
  <c r="H56" i="2"/>
  <c r="G56" i="2"/>
  <c r="F56" i="2"/>
  <c r="D56" i="2"/>
  <c r="C56" i="2"/>
  <c r="B56" i="2"/>
  <c r="J55" i="1"/>
  <c r="J55" i="2"/>
  <c r="A55" i="1"/>
  <c r="A55" i="2"/>
  <c r="I55" i="2"/>
  <c r="H55" i="2"/>
  <c r="G55" i="2"/>
  <c r="F55" i="2"/>
  <c r="D55" i="2"/>
  <c r="C55" i="2"/>
  <c r="B55" i="2"/>
  <c r="J54" i="1"/>
  <c r="J54" i="2"/>
  <c r="A54" i="1"/>
  <c r="A54" i="2"/>
  <c r="I54" i="2"/>
  <c r="H54" i="2"/>
  <c r="G54" i="2"/>
  <c r="F54" i="2"/>
  <c r="D54" i="2"/>
  <c r="C54" i="2"/>
  <c r="B54" i="2"/>
  <c r="J53" i="1"/>
  <c r="J53" i="2"/>
  <c r="A53" i="1"/>
  <c r="A53" i="2"/>
  <c r="I53" i="2"/>
  <c r="H53" i="2"/>
  <c r="G53" i="2"/>
  <c r="F53" i="2"/>
  <c r="D53" i="2"/>
  <c r="C53" i="2"/>
  <c r="B53" i="2"/>
  <c r="J52" i="1"/>
  <c r="J52" i="2"/>
  <c r="A52" i="1"/>
  <c r="A52" i="2"/>
  <c r="I52" i="2"/>
  <c r="H52" i="2"/>
  <c r="G52" i="2"/>
  <c r="F52" i="2"/>
  <c r="D52" i="2"/>
  <c r="C52" i="2"/>
  <c r="B52" i="2"/>
  <c r="J51" i="1"/>
  <c r="J51" i="2"/>
  <c r="A51" i="1"/>
  <c r="A51" i="2"/>
  <c r="I51" i="2"/>
  <c r="H51" i="2"/>
  <c r="G51" i="2"/>
  <c r="F51" i="2"/>
  <c r="D51" i="2"/>
  <c r="C51" i="2"/>
  <c r="B51" i="2"/>
  <c r="J50" i="1"/>
  <c r="J50" i="2"/>
  <c r="A50" i="1"/>
  <c r="A50" i="2"/>
  <c r="I50" i="2"/>
  <c r="H50" i="2"/>
  <c r="G50" i="2"/>
  <c r="F50" i="2"/>
  <c r="D50" i="2"/>
  <c r="C50" i="2"/>
  <c r="B50" i="2"/>
  <c r="J49" i="1"/>
  <c r="J49" i="2"/>
  <c r="A49" i="1"/>
  <c r="A49" i="2"/>
  <c r="I49" i="2"/>
  <c r="H49" i="2"/>
  <c r="G49" i="2"/>
  <c r="F49" i="2"/>
  <c r="D49" i="2"/>
  <c r="C49" i="2"/>
  <c r="B49" i="2"/>
  <c r="J48" i="1"/>
  <c r="J48" i="2"/>
  <c r="A48" i="1"/>
  <c r="A48" i="2"/>
  <c r="I48" i="2"/>
  <c r="H48" i="2"/>
  <c r="G48" i="2"/>
  <c r="F48" i="2"/>
  <c r="D48" i="2"/>
  <c r="C48" i="2"/>
  <c r="B48" i="2"/>
  <c r="J47" i="1"/>
  <c r="J47" i="2"/>
  <c r="A47" i="1"/>
  <c r="A47" i="2"/>
  <c r="I47" i="2"/>
  <c r="H47" i="2"/>
  <c r="G47" i="2"/>
  <c r="F47" i="2"/>
  <c r="D47" i="2"/>
  <c r="C47" i="2"/>
  <c r="B47" i="2"/>
  <c r="J46" i="1"/>
  <c r="J46" i="2"/>
  <c r="A46" i="1"/>
  <c r="A46" i="2"/>
  <c r="I46" i="2"/>
  <c r="H46" i="2"/>
  <c r="G46" i="2"/>
  <c r="F46" i="2"/>
  <c r="D46" i="2"/>
  <c r="C46" i="2"/>
  <c r="B46" i="2"/>
  <c r="J45" i="1"/>
  <c r="J45" i="2"/>
  <c r="A45" i="1"/>
  <c r="A45" i="2"/>
  <c r="I45" i="2"/>
  <c r="H45" i="2"/>
  <c r="G45" i="2"/>
  <c r="F45" i="2"/>
  <c r="D45" i="2"/>
  <c r="C45" i="2"/>
  <c r="B45" i="2"/>
  <c r="J44" i="1"/>
  <c r="J44" i="2"/>
  <c r="A44" i="1"/>
  <c r="A44" i="2"/>
  <c r="I44" i="2"/>
  <c r="H44" i="2"/>
  <c r="G44" i="2"/>
  <c r="F44" i="2"/>
  <c r="D44" i="2"/>
  <c r="C44" i="2"/>
  <c r="B44" i="2"/>
  <c r="J43" i="1"/>
  <c r="J43" i="2"/>
  <c r="A43" i="1"/>
  <c r="A43" i="2"/>
  <c r="I43" i="2"/>
  <c r="H43" i="2"/>
  <c r="G43" i="2"/>
  <c r="F43" i="2"/>
  <c r="D43" i="2"/>
  <c r="C43" i="2"/>
  <c r="B43" i="2"/>
  <c r="J42" i="1"/>
  <c r="J42" i="2"/>
  <c r="A42" i="1"/>
  <c r="A42" i="2"/>
  <c r="I42" i="2"/>
  <c r="H42" i="2"/>
  <c r="G42" i="2"/>
  <c r="F42" i="2"/>
  <c r="D42" i="2"/>
  <c r="C42" i="2"/>
  <c r="B42" i="2"/>
  <c r="J41" i="1"/>
  <c r="J41" i="2"/>
  <c r="A41" i="1"/>
  <c r="A41" i="2"/>
  <c r="I41" i="2"/>
  <c r="H41" i="2"/>
  <c r="G41" i="2"/>
  <c r="F41" i="2"/>
  <c r="D41" i="2"/>
  <c r="C41" i="2"/>
  <c r="B41" i="2"/>
  <c r="J40" i="1"/>
  <c r="J40" i="2"/>
  <c r="A40" i="1"/>
  <c r="A40" i="2"/>
  <c r="I40" i="2"/>
  <c r="H40" i="2"/>
  <c r="G40" i="2"/>
  <c r="F40" i="2"/>
  <c r="D40" i="2"/>
  <c r="C40" i="2"/>
  <c r="B40" i="2"/>
  <c r="J39" i="1"/>
  <c r="J39" i="2"/>
  <c r="A39" i="1"/>
  <c r="A39" i="2"/>
  <c r="I39" i="2"/>
  <c r="H39" i="2"/>
  <c r="G39" i="2"/>
  <c r="F39" i="2"/>
  <c r="D39" i="2"/>
  <c r="C39" i="2"/>
  <c r="B39" i="2"/>
  <c r="J38" i="1"/>
  <c r="J38" i="2"/>
  <c r="A38" i="1"/>
  <c r="A38" i="2"/>
  <c r="I38" i="2"/>
  <c r="H38" i="2"/>
  <c r="G38" i="2"/>
  <c r="F38" i="2"/>
  <c r="D38" i="2"/>
  <c r="C38" i="2"/>
  <c r="B38" i="2"/>
  <c r="J37" i="1"/>
  <c r="J37" i="2"/>
  <c r="A37" i="1"/>
  <c r="A37" i="2"/>
  <c r="I37" i="2"/>
  <c r="H37" i="2"/>
  <c r="G37" i="2"/>
  <c r="F37" i="2"/>
  <c r="D37" i="2"/>
  <c r="C37" i="2"/>
  <c r="B37" i="2"/>
  <c r="J36" i="1"/>
  <c r="J36" i="2"/>
  <c r="A36" i="1"/>
  <c r="A36" i="2"/>
  <c r="I36" i="2"/>
  <c r="H36" i="2"/>
  <c r="G36" i="2"/>
  <c r="F36" i="2"/>
  <c r="D36" i="2"/>
  <c r="C36" i="2"/>
  <c r="B36" i="2"/>
  <c r="J35" i="1"/>
  <c r="J35" i="2"/>
  <c r="A35" i="1"/>
  <c r="A35" i="2"/>
  <c r="I35" i="2"/>
  <c r="H35" i="2"/>
  <c r="G35" i="2"/>
  <c r="F35" i="2"/>
  <c r="D35" i="2"/>
  <c r="C35" i="2"/>
  <c r="B35" i="2"/>
  <c r="J34" i="1"/>
  <c r="J34" i="2"/>
  <c r="A34" i="1"/>
  <c r="A34" i="2"/>
  <c r="I34" i="2"/>
  <c r="H34" i="2"/>
  <c r="G34" i="2"/>
  <c r="F34" i="2"/>
  <c r="D34" i="2"/>
  <c r="C34" i="2"/>
  <c r="B34" i="2"/>
  <c r="J33" i="1"/>
  <c r="J33" i="2"/>
  <c r="A33" i="1"/>
  <c r="A33" i="2"/>
  <c r="I33" i="2"/>
  <c r="H33" i="2"/>
  <c r="G33" i="2"/>
  <c r="F33" i="2"/>
  <c r="D33" i="2"/>
  <c r="C33" i="2"/>
  <c r="B33" i="2"/>
  <c r="J32" i="1"/>
  <c r="J32" i="2"/>
  <c r="A32" i="1"/>
  <c r="A32" i="2"/>
  <c r="I32" i="2"/>
  <c r="H32" i="2"/>
  <c r="G32" i="2"/>
  <c r="F32" i="2"/>
  <c r="D32" i="2"/>
  <c r="C32" i="2"/>
  <c r="B32" i="2"/>
  <c r="J31" i="1"/>
  <c r="J31" i="2"/>
  <c r="A31" i="1"/>
  <c r="A31" i="2"/>
  <c r="I31" i="2"/>
  <c r="H31" i="2"/>
  <c r="G31" i="2"/>
  <c r="F31" i="2"/>
  <c r="D31" i="2"/>
  <c r="C31" i="2"/>
  <c r="B31" i="2"/>
  <c r="J30" i="1"/>
  <c r="J30" i="2"/>
  <c r="A30" i="1"/>
  <c r="A30" i="2"/>
  <c r="I30" i="2"/>
  <c r="H30" i="2"/>
  <c r="G30" i="2"/>
  <c r="F30" i="2"/>
  <c r="D30" i="2"/>
  <c r="C30" i="2"/>
  <c r="B30" i="2"/>
  <c r="J29" i="1"/>
  <c r="J29" i="2"/>
  <c r="A29" i="1"/>
  <c r="A29" i="2"/>
  <c r="I29" i="2"/>
  <c r="H29" i="2"/>
  <c r="G29" i="2"/>
  <c r="F29" i="2"/>
  <c r="D29" i="2"/>
  <c r="C29" i="2"/>
  <c r="B29" i="2"/>
  <c r="J28" i="1"/>
  <c r="J28" i="2"/>
  <c r="A28" i="1"/>
  <c r="A28" i="2"/>
  <c r="I28" i="2"/>
  <c r="H28" i="2"/>
  <c r="G28" i="2"/>
  <c r="F28" i="2"/>
  <c r="D28" i="2"/>
  <c r="C28" i="2"/>
  <c r="B28" i="2"/>
  <c r="J27" i="1"/>
  <c r="J27" i="2"/>
  <c r="A27" i="1"/>
  <c r="A27" i="2"/>
  <c r="I27" i="2"/>
  <c r="H27" i="2"/>
  <c r="G27" i="2"/>
  <c r="F27" i="2"/>
  <c r="D27" i="2"/>
  <c r="C27" i="2"/>
  <c r="B27" i="2"/>
  <c r="J26" i="1"/>
  <c r="J26" i="2"/>
  <c r="A26" i="1"/>
  <c r="A26" i="2"/>
  <c r="I26" i="2"/>
  <c r="H26" i="2"/>
  <c r="G26" i="2"/>
  <c r="F26" i="2"/>
  <c r="D26" i="2"/>
  <c r="C26" i="2"/>
  <c r="B26" i="2"/>
  <c r="J25" i="1"/>
  <c r="J25" i="2"/>
  <c r="A25" i="1"/>
  <c r="A25" i="2"/>
  <c r="I25" i="2"/>
  <c r="H25" i="2"/>
  <c r="G25" i="2"/>
  <c r="F25" i="2"/>
  <c r="D25" i="2"/>
  <c r="C25" i="2"/>
  <c r="B25" i="2"/>
  <c r="J24" i="1"/>
  <c r="J24" i="2"/>
  <c r="A24" i="1"/>
  <c r="A24" i="2"/>
  <c r="I24" i="2"/>
  <c r="H24" i="2"/>
  <c r="G24" i="2"/>
  <c r="F24" i="2"/>
  <c r="D24" i="2"/>
  <c r="C24" i="2"/>
  <c r="B24" i="2"/>
  <c r="J23" i="1"/>
  <c r="J23" i="2"/>
  <c r="A23" i="1"/>
  <c r="A23" i="2"/>
  <c r="I23" i="2"/>
  <c r="H23" i="2"/>
  <c r="G23" i="2"/>
  <c r="F23" i="2"/>
  <c r="D23" i="2"/>
  <c r="C23" i="2"/>
  <c r="B23" i="2"/>
  <c r="J22" i="1"/>
  <c r="J22" i="2"/>
  <c r="A22" i="1"/>
  <c r="A22" i="2"/>
  <c r="I22" i="2"/>
  <c r="H22" i="2"/>
  <c r="G22" i="2"/>
  <c r="F22" i="2"/>
  <c r="D22" i="2"/>
  <c r="C22" i="2"/>
  <c r="B22" i="2"/>
  <c r="J21" i="1"/>
  <c r="J21" i="2"/>
  <c r="A21" i="1"/>
  <c r="A21" i="2"/>
  <c r="I21" i="2"/>
  <c r="H21" i="2"/>
  <c r="G21" i="2"/>
  <c r="F21" i="2"/>
  <c r="D21" i="2"/>
  <c r="C21" i="2"/>
  <c r="B21" i="2"/>
  <c r="J20" i="1"/>
  <c r="J20" i="2"/>
  <c r="A20" i="1"/>
  <c r="A20" i="2"/>
  <c r="I20" i="2"/>
  <c r="H20" i="2"/>
  <c r="G20" i="2"/>
  <c r="F20" i="2"/>
  <c r="D20" i="2"/>
  <c r="C20" i="2"/>
  <c r="B20" i="2"/>
  <c r="J19" i="1"/>
  <c r="J19" i="2"/>
  <c r="A19" i="1"/>
  <c r="A19" i="2"/>
  <c r="I19" i="2"/>
  <c r="H19" i="2"/>
  <c r="G19" i="2"/>
  <c r="F19" i="2"/>
  <c r="D19" i="2"/>
  <c r="C19" i="2"/>
  <c r="B19" i="2"/>
  <c r="J18" i="1"/>
  <c r="J18" i="2"/>
  <c r="A18" i="1"/>
  <c r="A18" i="2"/>
  <c r="I18" i="2"/>
  <c r="H18" i="2"/>
  <c r="G18" i="2"/>
  <c r="F18" i="2"/>
  <c r="D18" i="2"/>
  <c r="C18" i="2"/>
  <c r="B18" i="2"/>
  <c r="J17" i="1"/>
  <c r="J17" i="2"/>
  <c r="A17" i="1"/>
  <c r="A17" i="2"/>
  <c r="I17" i="2"/>
  <c r="H17" i="2"/>
  <c r="G17" i="2"/>
  <c r="F17" i="2"/>
  <c r="D17" i="2"/>
  <c r="C17" i="2"/>
  <c r="B17" i="2"/>
  <c r="J16" i="1"/>
  <c r="J16" i="2"/>
  <c r="A16" i="1"/>
  <c r="A16" i="2"/>
  <c r="I16" i="2"/>
  <c r="H16" i="2"/>
  <c r="G16" i="2"/>
  <c r="F16" i="2"/>
  <c r="D16" i="2"/>
  <c r="C16" i="2"/>
  <c r="B16" i="2"/>
  <c r="J15" i="1"/>
  <c r="J15" i="2"/>
  <c r="A15" i="1"/>
  <c r="A15" i="2"/>
  <c r="I15" i="2"/>
  <c r="H15" i="2"/>
  <c r="G15" i="2"/>
  <c r="F15" i="2"/>
  <c r="D15" i="2"/>
  <c r="C15" i="2"/>
  <c r="B15" i="2"/>
  <c r="J14" i="1"/>
  <c r="J14" i="2"/>
  <c r="A14" i="1"/>
  <c r="A14" i="2"/>
  <c r="I14" i="2"/>
  <c r="H14" i="2"/>
  <c r="G14" i="2"/>
  <c r="F14" i="2"/>
  <c r="D14" i="2"/>
  <c r="C14" i="2"/>
  <c r="B14" i="2"/>
  <c r="J13" i="1"/>
  <c r="J13" i="2"/>
  <c r="A13" i="1"/>
  <c r="A13" i="2"/>
  <c r="I13" i="2"/>
  <c r="H13" i="2"/>
  <c r="G13" i="2"/>
  <c r="F13" i="2"/>
  <c r="D13" i="2"/>
  <c r="C13" i="2"/>
  <c r="B13" i="2"/>
  <c r="J12" i="1"/>
  <c r="J12" i="2"/>
  <c r="A12" i="1"/>
  <c r="A12" i="2"/>
  <c r="I12" i="2"/>
  <c r="H12" i="2"/>
  <c r="G12" i="2"/>
  <c r="F12" i="2"/>
  <c r="D12" i="2"/>
  <c r="C12" i="2"/>
  <c r="B12" i="2"/>
  <c r="J11" i="1"/>
  <c r="J11" i="2"/>
  <c r="A11" i="1"/>
  <c r="A11" i="2"/>
  <c r="I11" i="2"/>
  <c r="H11" i="2"/>
  <c r="G11" i="2"/>
  <c r="F11" i="2"/>
  <c r="D11" i="2"/>
  <c r="C11" i="2"/>
  <c r="B11" i="2"/>
  <c r="J10" i="1"/>
  <c r="J10" i="2"/>
  <c r="A10" i="1"/>
  <c r="A10" i="2"/>
  <c r="I10" i="2"/>
  <c r="H10" i="2"/>
  <c r="G10" i="2"/>
  <c r="F10" i="2"/>
  <c r="D10" i="2"/>
  <c r="C10" i="2"/>
  <c r="B10" i="2"/>
  <c r="J9" i="1"/>
  <c r="J9" i="2" s="1"/>
  <c r="A9" i="1"/>
  <c r="A9" i="2" s="1"/>
  <c r="C9" i="2"/>
  <c r="B9" i="2"/>
  <c r="H9" i="1"/>
  <c r="G9" i="1" s="1"/>
  <c r="G5" i="2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5" i="2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F9" i="1"/>
  <c r="I9" i="1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5" i="2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5" i="2"/>
  <c r="C5" i="2"/>
  <c r="C4" i="2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H9" i="2" l="1"/>
  <c r="F9" i="2"/>
  <c r="I9" i="2"/>
  <c r="G9" i="2"/>
  <c r="D9" i="2"/>
</calcChain>
</file>

<file path=xl/sharedStrings.xml><?xml version="1.0" encoding="utf-8"?>
<sst xmlns="http://schemas.openxmlformats.org/spreadsheetml/2006/main" count="30" uniqueCount="23">
  <si>
    <t>Lançamento de fechamento Verdes Vales</t>
  </si>
  <si>
    <t>Data do fechamento:</t>
  </si>
  <si>
    <t>Preencha apenas os campos amarelos. Salve uma cópia para cada fechamento.</t>
  </si>
  <si>
    <t>NOTA DE SERVIÇO</t>
  </si>
  <si>
    <t>NOTA DE CONSUMO — ESTADO</t>
  </si>
  <si>
    <t>Item</t>
  </si>
  <si>
    <t>Apartamento</t>
  </si>
  <si>
    <t>Valor do pacote</t>
  </si>
  <si>
    <t>Serviço • Prefeitura
30% do pacote</t>
  </si>
  <si>
    <t>Alimentação • Estado
30% do consumo</t>
  </si>
  <si>
    <t>Bebidas frias • Estado
70% do consumo (monofásico)</t>
  </si>
  <si>
    <t>TOTAL DA NOTA
DE CONSUMO</t>
  </si>
  <si>
    <t>Conferência</t>
  </si>
  <si>
    <t>Situação</t>
  </si>
  <si>
    <t>TOTAL GERAL</t>
  </si>
  <si>
    <t>Valores acumulados por lançamento. Alimentação + bebidas frias = nota de consumo.</t>
  </si>
  <si>
    <t>Pacote lançado</t>
  </si>
  <si>
    <t>Serviço acumulado
Prefeitura</t>
  </si>
  <si>
    <t>Alimentação acumulada
Estado</t>
  </si>
  <si>
    <t>Bebidas frias acumuladas
Estado (monofásico)</t>
  </si>
  <si>
    <t>NOTA DE CONSUMO
ACUMULADA</t>
  </si>
  <si>
    <t>FATURAMENTO
ACUMULADO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</si>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</sst>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5">
    <font>
      <sz val="11"/>
      <name val="Carlito"/>
    </font>
    <font>
      <sz val="11"/>
      <color rgb="FF243746"/>
      <name val="Arial"/>
    </font>
    <font>
      <b/>
      <sz val="16"/>
      <color rgb="FF193C59"/>
      <name val="Arial"/>
    </font>
    <font>
      <b/>
      <sz val="11"/>
      <color rgb="FFFFFFFF"/>
      <name val="Arial"/>
    </font>
    <font>
      <b/>
      <sz val="11"/>
      <color rgb="FF243746"/>
      <name val="Arial"/>
    </font>
  </fonts>
  <fills count="10">
    <fill>
      <patternFill patternType="none"/>
    </fill>
    <fill>
      <patternFill patternType="gray125"/>
    </fill>
    <fill>
      <patternFill patternType="solid">
        <fgColor rgb="FF193C59"/>
      </patternFill>
    </fill>
    <fill>
      <patternFill patternType="solid">
        <fgColor rgb="FF305B91"/>
      </patternFill>
    </fill>
    <fill>
      <patternFill patternType="solid">
        <fgColor rgb="FF286A51"/>
      </patternFill>
    </fill>
    <fill>
      <patternFill patternType="solid">
        <fgColor rgb="FFEDF3FA"/>
      </patternFill>
    </fill>
    <fill>
      <patternFill patternType="solid">
        <fgColor rgb="FFEEF7F1"/>
      </patternFill>
    </fill>
    <fill>
      <patternFill patternType="solid">
        <fgColor rgb="FFFFF2CC"/>
      </patternFill>
    </fill>
    <fill>
      <patternFill patternType="solid">
        <fgColor rgb="FFE4EDF4"/>
      </patternFill>
    </fill>
    <fill>
      <patternFill patternType="solid">
        <fgColor rgb="FFDEEE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  <protection hidden="1"/>
    </xf>
    <xf numFmtId="14" fontId="1" fillId="7" borderId="0" xfId="0" applyNumberFormat="1" applyFont="1" applyFill="1" applyBorder="1" applyAlignment="1" applyProtection="1">
      <alignment vertical="center"/>
      <protection locked="0"/>
    </xf>
    <xf numFmtId="0" fontId="3" fillId="3" borderId="0" xfId="0" applyNumberFormat="1" applyFont="1" applyFill="1" applyBorder="1" applyAlignment="1" applyProtection="1">
      <alignment vertical="center"/>
      <protection hidden="1"/>
    </xf>
    <xf numFmtId="0" fontId="3" fillId="2" borderId="0" xfId="0" applyNumberFormat="1" applyFont="1" applyFill="1" applyBorder="1" applyAlignment="1" applyProtection="1">
      <alignment vertical="center" wrapText="1"/>
      <protection hidden="1"/>
    </xf>
    <xf numFmtId="0" fontId="3" fillId="3" borderId="0" xfId="0" applyNumberFormat="1" applyFont="1" applyFill="1" applyBorder="1" applyAlignment="1" applyProtection="1">
      <alignment vertical="center" wrapText="1"/>
      <protection hidden="1"/>
    </xf>
    <xf numFmtId="0" fontId="3" fillId="0" borderId="0" xfId="0" applyNumberFormat="1" applyFont="1" applyFill="1" applyBorder="1" applyAlignment="1" applyProtection="1">
      <alignment vertical="center" wrapText="1"/>
      <protection hidden="1"/>
    </xf>
    <xf numFmtId="0" fontId="3" fillId="4" borderId="0" xfId="0" applyNumberFormat="1" applyFont="1" applyFill="1" applyBorder="1" applyAlignment="1" applyProtection="1">
      <alignment vertical="center" wrapText="1"/>
      <protection hidden="1"/>
    </xf>
    <xf numFmtId="49" fontId="1" fillId="7" borderId="0" xfId="0" applyNumberFormat="1" applyFont="1" applyFill="1" applyBorder="1" applyAlignment="1" applyProtection="1">
      <alignment vertical="center"/>
      <protection locked="0"/>
    </xf>
    <xf numFmtId="164" fontId="1" fillId="7" borderId="0" xfId="0" applyNumberFormat="1" applyFont="1" applyFill="1" applyBorder="1" applyAlignment="1" applyProtection="1">
      <alignment vertical="center"/>
      <protection locked="0"/>
    </xf>
    <xf numFmtId="164" fontId="1" fillId="5" borderId="0" xfId="0" applyNumberFormat="1" applyFont="1" applyFill="1" applyBorder="1" applyAlignment="1" applyProtection="1">
      <alignment vertical="center"/>
      <protection hidden="1"/>
    </xf>
    <xf numFmtId="164" fontId="1" fillId="6" borderId="0" xfId="0" applyNumberFormat="1" applyFont="1" applyFill="1" applyBorder="1" applyAlignment="1" applyProtection="1">
      <alignment vertical="center"/>
      <protection hidden="1"/>
    </xf>
    <xf numFmtId="164" fontId="1" fillId="0" borderId="0" xfId="0" applyNumberFormat="1" applyFont="1" applyFill="1" applyBorder="1" applyAlignment="1" applyProtection="1">
      <alignment vertical="center"/>
      <protection hidden="1"/>
    </xf>
    <xf numFmtId="0" fontId="1" fillId="0" borderId="0" xfId="0" applyNumberFormat="1" applyFont="1" applyFill="1" applyBorder="1" applyAlignment="1" applyProtection="1">
      <alignment vertical="center"/>
      <protection hidden="1"/>
    </xf>
    <xf numFmtId="14" fontId="1" fillId="0" borderId="0" xfId="0" applyNumberFormat="1" applyFont="1" applyFill="1" applyBorder="1" applyAlignment="1" applyProtection="1">
      <alignment vertical="center"/>
      <protection hidden="1"/>
    </xf>
    <xf numFmtId="0" fontId="4" fillId="8" borderId="0" xfId="0" applyNumberFormat="1" applyFont="1" applyFill="1" applyBorder="1" applyAlignment="1" applyProtection="1">
      <alignment vertical="center"/>
      <protection hidden="1"/>
    </xf>
    <xf numFmtId="164" fontId="4" fillId="8" borderId="0" xfId="0" applyNumberFormat="1" applyFont="1" applyFill="1" applyBorder="1" applyAlignment="1" applyProtection="1">
      <alignment vertical="center"/>
      <protection hidden="1"/>
    </xf>
    <xf numFmtId="0" fontId="4" fillId="0" borderId="0" xfId="0" applyNumberFormat="1" applyFont="1" applyFill="1" applyBorder="1" applyAlignment="1" applyProtection="1">
      <alignment vertical="center"/>
      <protection hidden="1"/>
    </xf>
    <xf numFmtId="164" fontId="4" fillId="9" borderId="0" xfId="0" applyNumberFormat="1" applyFont="1" applyFill="1" applyBorder="1" applyAlignment="1" applyProtection="1">
      <alignment vertical="center"/>
      <protection hidden="1"/>
    </xf>
    <xf numFmtId="0" fontId="2" fillId="0" borderId="0" xfId="0" applyNumberFormat="1" applyFont="1" applyFill="1" applyBorder="1" applyAlignment="1" applyProtection="1">
      <alignment vertical="center"/>
      <protection hidden="1"/>
    </xf>
    <xf numFmtId="0" fontId="1" fillId="0" borderId="0" xfId="0" applyNumberFormat="1" applyFont="1" applyFill="1" applyBorder="1" applyAlignment="1" applyProtection="1">
      <alignment vertical="center"/>
      <protection hidden="1"/>
    </xf>
    <xf numFmtId="0" fontId="3" fillId="4" borderId="0" xfId="0" applyNumberFormat="1" applyFont="1" applyFill="1" applyBorder="1" applyAlignment="1" applyProtection="1">
      <alignment vertical="center"/>
      <protection hidden="1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7899"/>
  </sheetPr>
  <dimension ref="A1:J1008"/>
  <sheetViews>
    <sheetView showGridLines="0" tabSelected="1" workbookViewId="0">
      <pane ySplit="8" topLeftCell="A9" activePane="bottomLeft" state="frozen"/>
      <selection pane="bottomLeft" activeCell="C9" sqref="C9"/>
    </sheetView>
  </sheetViews>
  <sheetFormatPr defaultRowHeight="14.25"/>
  <cols>
    <col min="1" max="1" width="7.875" customWidth="1"/>
    <col min="2" max="2" width="17" customWidth="1"/>
    <col min="3" max="3" width="23" customWidth="1"/>
    <col min="4" max="4" width="27" customWidth="1"/>
    <col min="5" max="5" width="3" customWidth="1"/>
    <col min="6" max="6" width="25" customWidth="1"/>
    <col min="7" max="7" width="29" customWidth="1"/>
    <col min="8" max="9" width="25" customWidth="1"/>
    <col min="10" max="10" width="24" customWidth="1"/>
  </cols>
  <sheetData>
    <row r="1" spans="1:10" ht="23.1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.1" customHeight="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3.1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3.1" customHeight="1">
      <c r="A4" s="20" t="s">
        <v>1</v>
      </c>
      <c r="B4" s="20"/>
      <c r="C4" s="2">
        <v>46310</v>
      </c>
      <c r="D4" s="1"/>
      <c r="E4" s="1"/>
      <c r="F4" s="1"/>
      <c r="G4" s="1"/>
      <c r="H4" s="1"/>
      <c r="I4" s="1"/>
      <c r="J4" s="1"/>
    </row>
    <row r="5" spans="1:10" ht="23.1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3.1" customHeight="1">
      <c r="A6" s="20" t="s">
        <v>2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ht="23.1" customHeight="1">
      <c r="A7" s="1"/>
      <c r="B7" s="1"/>
      <c r="C7" s="1"/>
      <c r="D7" s="3" t="s">
        <v>3</v>
      </c>
      <c r="E7" s="1"/>
      <c r="F7" s="21" t="s">
        <v>4</v>
      </c>
      <c r="G7" s="21"/>
      <c r="H7" s="21"/>
      <c r="I7" s="1"/>
      <c r="J7" s="1"/>
    </row>
    <row r="8" spans="1:10" ht="54" customHeight="1">
      <c r="A8" s="4" t="s">
        <v>5</v>
      </c>
      <c r="B8" s="4" t="s">
        <v>6</v>
      </c>
      <c r="C8" s="4" t="s">
        <v>7</v>
      </c>
      <c r="D8" s="5" t="s">
        <v>8</v>
      </c>
      <c r="E8" s="6"/>
      <c r="F8" s="7" t="s">
        <v>9</v>
      </c>
      <c r="G8" s="7" t="s">
        <v>10</v>
      </c>
      <c r="H8" s="7" t="s">
        <v>11</v>
      </c>
      <c r="I8" s="4" t="s">
        <v>12</v>
      </c>
      <c r="J8" s="4" t="s">
        <v>13</v>
      </c>
    </row>
    <row r="9" spans="1:10" ht="23.1" customHeight="1">
      <c r="A9" s="1">
        <f>IF(COUNTA(B9:C9)=0,"",1)</f>
        <v>1</v>
      </c>
      <c r="B9" s="8" t="s">
        <v>22</v>
      </c>
      <c r="C9" s="9">
        <v>3439.52</v>
      </c>
      <c r="D9" s="10">
        <f t="shared" ref="D9:D72" si="0">IF(NOT(ISNUMBER(C9)),"",ROUND(C9*30%,2))</f>
        <v>1031.8599999999999</v>
      </c>
      <c r="E9" s="1"/>
      <c r="F9" s="11">
        <f t="shared" ref="F9:F72" si="1">IF(NOT(ISNUMBER(C9)),"",ROUND(H9*30%,2))</f>
        <v>722.3</v>
      </c>
      <c r="G9" s="11">
        <f t="shared" ref="G9:G72" si="2">IF(NOT(ISNUMBER(C9)),"",ROUND(H9-F9,2))</f>
        <v>1685.36</v>
      </c>
      <c r="H9" s="11">
        <f t="shared" ref="H9:H72" si="3">IF(NOT(ISNUMBER(C9)),"",ROUND(C9-D9,2))</f>
        <v>2407.66</v>
      </c>
      <c r="I9" s="12">
        <f t="shared" ref="I9:I72" si="4">IF(NOT(ISNUMBER(C9)),"",ROUND(C9-SUM(D9,F9:G9),2))</f>
        <v>0</v>
      </c>
      <c r="J9" s="13" t="str">
        <f t="shared" ref="J9:J72" si="5">IF(COUNTA(B9:C9)=0,"",IF(B9="","Falta apartamento",IF(NOT(ISNUMBER(C9)),"Falta valor","Completo")))</f>
        <v>Completo</v>
      </c>
    </row>
    <row r="10" spans="1:10" ht="23.1" customHeight="1">
      <c r="A10" s="1" t="str">
        <f>IF(COUNTA(B10:C10)=0,"",2)</f>
        <v/>
      </c>
      <c r="B10" s="8"/>
      <c r="C10" s="9"/>
      <c r="D10" s="10" t="str">
        <f t="shared" si="0"/>
        <v/>
      </c>
      <c r="E10" s="1"/>
      <c r="F10" s="11" t="str">
        <f t="shared" si="1"/>
        <v/>
      </c>
      <c r="G10" s="11" t="str">
        <f t="shared" si="2"/>
        <v/>
      </c>
      <c r="H10" s="11" t="str">
        <f t="shared" si="3"/>
        <v/>
      </c>
      <c r="I10" s="12" t="str">
        <f t="shared" si="4"/>
        <v/>
      </c>
      <c r="J10" s="13" t="str">
        <f t="shared" si="5"/>
        <v/>
      </c>
    </row>
    <row r="11" spans="1:10" ht="23.1" customHeight="1">
      <c r="A11" s="1" t="str">
        <f>IF(COUNTA(B11:C11)=0,"",3)</f>
        <v/>
      </c>
      <c r="B11" s="8"/>
      <c r="C11" s="9"/>
      <c r="D11" s="10" t="str">
        <f t="shared" si="0"/>
        <v/>
      </c>
      <c r="E11" s="1"/>
      <c r="F11" s="11" t="str">
        <f t="shared" si="1"/>
        <v/>
      </c>
      <c r="G11" s="11" t="str">
        <f t="shared" si="2"/>
        <v/>
      </c>
      <c r="H11" s="11" t="str">
        <f t="shared" si="3"/>
        <v/>
      </c>
      <c r="I11" s="12" t="str">
        <f t="shared" si="4"/>
        <v/>
      </c>
      <c r="J11" s="13" t="str">
        <f t="shared" si="5"/>
        <v/>
      </c>
    </row>
    <row r="12" spans="1:10" ht="23.1" customHeight="1">
      <c r="A12" s="1" t="str">
        <f>IF(COUNTA(B12:C12)=0,"",4)</f>
        <v/>
      </c>
      <c r="B12" s="8"/>
      <c r="C12" s="9"/>
      <c r="D12" s="10" t="str">
        <f t="shared" si="0"/>
        <v/>
      </c>
      <c r="E12" s="1"/>
      <c r="F12" s="11" t="str">
        <f t="shared" si="1"/>
        <v/>
      </c>
      <c r="G12" s="11" t="str">
        <f t="shared" si="2"/>
        <v/>
      </c>
      <c r="H12" s="11" t="str">
        <f t="shared" si="3"/>
        <v/>
      </c>
      <c r="I12" s="12" t="str">
        <f t="shared" si="4"/>
        <v/>
      </c>
      <c r="J12" s="13" t="str">
        <f t="shared" si="5"/>
        <v/>
      </c>
    </row>
    <row r="13" spans="1:10" ht="23.1" customHeight="1">
      <c r="A13" s="1" t="str">
        <f>IF(COUNTA(B13:C13)=0,"",5)</f>
        <v/>
      </c>
      <c r="B13" s="8"/>
      <c r="C13" s="9"/>
      <c r="D13" s="10" t="str">
        <f t="shared" si="0"/>
        <v/>
      </c>
      <c r="E13" s="1"/>
      <c r="F13" s="11" t="str">
        <f t="shared" si="1"/>
        <v/>
      </c>
      <c r="G13" s="11" t="str">
        <f t="shared" si="2"/>
        <v/>
      </c>
      <c r="H13" s="11" t="str">
        <f t="shared" si="3"/>
        <v/>
      </c>
      <c r="I13" s="12" t="str">
        <f t="shared" si="4"/>
        <v/>
      </c>
      <c r="J13" s="13" t="str">
        <f t="shared" si="5"/>
        <v/>
      </c>
    </row>
    <row r="14" spans="1:10" ht="23.1" customHeight="1">
      <c r="A14" s="1" t="str">
        <f>IF(COUNTA(B14:C14)=0,"",6)</f>
        <v/>
      </c>
      <c r="B14" s="8"/>
      <c r="C14" s="9"/>
      <c r="D14" s="10" t="str">
        <f t="shared" si="0"/>
        <v/>
      </c>
      <c r="E14" s="1"/>
      <c r="F14" s="11" t="str">
        <f t="shared" si="1"/>
        <v/>
      </c>
      <c r="G14" s="11" t="str">
        <f t="shared" si="2"/>
        <v/>
      </c>
      <c r="H14" s="11" t="str">
        <f t="shared" si="3"/>
        <v/>
      </c>
      <c r="I14" s="12" t="str">
        <f t="shared" si="4"/>
        <v/>
      </c>
      <c r="J14" s="13" t="str">
        <f t="shared" si="5"/>
        <v/>
      </c>
    </row>
    <row r="15" spans="1:10" ht="23.1" customHeight="1">
      <c r="A15" s="1" t="str">
        <f>IF(COUNTA(B15:C15)=0,"",7)</f>
        <v/>
      </c>
      <c r="B15" s="8"/>
      <c r="C15" s="9"/>
      <c r="D15" s="10" t="str">
        <f t="shared" si="0"/>
        <v/>
      </c>
      <c r="E15" s="1"/>
      <c r="F15" s="11" t="str">
        <f t="shared" si="1"/>
        <v/>
      </c>
      <c r="G15" s="11" t="str">
        <f t="shared" si="2"/>
        <v/>
      </c>
      <c r="H15" s="11" t="str">
        <f t="shared" si="3"/>
        <v/>
      </c>
      <c r="I15" s="12" t="str">
        <f t="shared" si="4"/>
        <v/>
      </c>
      <c r="J15" s="13" t="str">
        <f t="shared" si="5"/>
        <v/>
      </c>
    </row>
    <row r="16" spans="1:10" ht="23.1" customHeight="1">
      <c r="A16" s="1" t="str">
        <f>IF(COUNTA(B16:C16)=0,"",8)</f>
        <v/>
      </c>
      <c r="B16" s="8"/>
      <c r="C16" s="9"/>
      <c r="D16" s="10" t="str">
        <f t="shared" si="0"/>
        <v/>
      </c>
      <c r="E16" s="1"/>
      <c r="F16" s="11" t="str">
        <f t="shared" si="1"/>
        <v/>
      </c>
      <c r="G16" s="11" t="str">
        <f t="shared" si="2"/>
        <v/>
      </c>
      <c r="H16" s="11" t="str">
        <f t="shared" si="3"/>
        <v/>
      </c>
      <c r="I16" s="12" t="str">
        <f t="shared" si="4"/>
        <v/>
      </c>
      <c r="J16" s="13" t="str">
        <f t="shared" si="5"/>
        <v/>
      </c>
    </row>
    <row r="17" spans="1:10" ht="23.1" customHeight="1">
      <c r="A17" s="1" t="str">
        <f>IF(COUNTA(B17:C17)=0,"",9)</f>
        <v/>
      </c>
      <c r="B17" s="8"/>
      <c r="C17" s="9"/>
      <c r="D17" s="10" t="str">
        <f t="shared" si="0"/>
        <v/>
      </c>
      <c r="E17" s="1"/>
      <c r="F17" s="11" t="str">
        <f t="shared" si="1"/>
        <v/>
      </c>
      <c r="G17" s="11" t="str">
        <f t="shared" si="2"/>
        <v/>
      </c>
      <c r="H17" s="11" t="str">
        <f t="shared" si="3"/>
        <v/>
      </c>
      <c r="I17" s="12" t="str">
        <f t="shared" si="4"/>
        <v/>
      </c>
      <c r="J17" s="13" t="str">
        <f t="shared" si="5"/>
        <v/>
      </c>
    </row>
    <row r="18" spans="1:10" ht="23.1" customHeight="1">
      <c r="A18" s="1" t="str">
        <f>IF(COUNTA(B18:C18)=0,"",10)</f>
        <v/>
      </c>
      <c r="B18" s="8"/>
      <c r="C18" s="9"/>
      <c r="D18" s="10" t="str">
        <f t="shared" si="0"/>
        <v/>
      </c>
      <c r="E18" s="1"/>
      <c r="F18" s="11" t="str">
        <f t="shared" si="1"/>
        <v/>
      </c>
      <c r="G18" s="11" t="str">
        <f t="shared" si="2"/>
        <v/>
      </c>
      <c r="H18" s="11" t="str">
        <f t="shared" si="3"/>
        <v/>
      </c>
      <c r="I18" s="12" t="str">
        <f t="shared" si="4"/>
        <v/>
      </c>
      <c r="J18" s="13" t="str">
        <f t="shared" si="5"/>
        <v/>
      </c>
    </row>
    <row r="19" spans="1:10" ht="23.1" customHeight="1">
      <c r="A19" s="1" t="str">
        <f>IF(COUNTA(B19:C19)=0,"",11)</f>
        <v/>
      </c>
      <c r="B19" s="8"/>
      <c r="C19" s="9"/>
      <c r="D19" s="10" t="str">
        <f t="shared" si="0"/>
        <v/>
      </c>
      <c r="E19" s="1"/>
      <c r="F19" s="11" t="str">
        <f t="shared" si="1"/>
        <v/>
      </c>
      <c r="G19" s="11" t="str">
        <f t="shared" si="2"/>
        <v/>
      </c>
      <c r="H19" s="11" t="str">
        <f t="shared" si="3"/>
        <v/>
      </c>
      <c r="I19" s="12" t="str">
        <f t="shared" si="4"/>
        <v/>
      </c>
      <c r="J19" s="13" t="str">
        <f t="shared" si="5"/>
        <v/>
      </c>
    </row>
    <row r="20" spans="1:10" ht="23.1" customHeight="1">
      <c r="A20" s="1" t="str">
        <f>IF(COUNTA(B20:C20)=0,"",12)</f>
        <v/>
      </c>
      <c r="B20" s="8"/>
      <c r="C20" s="9"/>
      <c r="D20" s="10" t="str">
        <f t="shared" si="0"/>
        <v/>
      </c>
      <c r="E20" s="1"/>
      <c r="F20" s="11" t="str">
        <f t="shared" si="1"/>
        <v/>
      </c>
      <c r="G20" s="11" t="str">
        <f t="shared" si="2"/>
        <v/>
      </c>
      <c r="H20" s="11" t="str">
        <f t="shared" si="3"/>
        <v/>
      </c>
      <c r="I20" s="12" t="str">
        <f t="shared" si="4"/>
        <v/>
      </c>
      <c r="J20" s="13" t="str">
        <f t="shared" si="5"/>
        <v/>
      </c>
    </row>
    <row r="21" spans="1:10" ht="23.1" customHeight="1">
      <c r="A21" s="1" t="str">
        <f>IF(COUNTA(B21:C21)=0,"",13)</f>
        <v/>
      </c>
      <c r="B21" s="8"/>
      <c r="C21" s="9"/>
      <c r="D21" s="10" t="str">
        <f t="shared" si="0"/>
        <v/>
      </c>
      <c r="E21" s="1"/>
      <c r="F21" s="11" t="str">
        <f t="shared" si="1"/>
        <v/>
      </c>
      <c r="G21" s="11" t="str">
        <f t="shared" si="2"/>
        <v/>
      </c>
      <c r="H21" s="11" t="str">
        <f t="shared" si="3"/>
        <v/>
      </c>
      <c r="I21" s="12" t="str">
        <f t="shared" si="4"/>
        <v/>
      </c>
      <c r="J21" s="13" t="str">
        <f t="shared" si="5"/>
        <v/>
      </c>
    </row>
    <row r="22" spans="1:10" ht="23.1" customHeight="1">
      <c r="A22" s="1" t="str">
        <f>IF(COUNTA(B22:C22)=0,"",14)</f>
        <v/>
      </c>
      <c r="B22" s="8"/>
      <c r="C22" s="9"/>
      <c r="D22" s="10" t="str">
        <f t="shared" si="0"/>
        <v/>
      </c>
      <c r="E22" s="1"/>
      <c r="F22" s="11" t="str">
        <f t="shared" si="1"/>
        <v/>
      </c>
      <c r="G22" s="11" t="str">
        <f t="shared" si="2"/>
        <v/>
      </c>
      <c r="H22" s="11" t="str">
        <f t="shared" si="3"/>
        <v/>
      </c>
      <c r="I22" s="12" t="str">
        <f t="shared" si="4"/>
        <v/>
      </c>
      <c r="J22" s="13" t="str">
        <f t="shared" si="5"/>
        <v/>
      </c>
    </row>
    <row r="23" spans="1:10" ht="23.1" customHeight="1">
      <c r="A23" s="1" t="str">
        <f>IF(COUNTA(B23:C23)=0,"",15)</f>
        <v/>
      </c>
      <c r="B23" s="8"/>
      <c r="C23" s="9"/>
      <c r="D23" s="10" t="str">
        <f t="shared" si="0"/>
        <v/>
      </c>
      <c r="E23" s="1"/>
      <c r="F23" s="11" t="str">
        <f t="shared" si="1"/>
        <v/>
      </c>
      <c r="G23" s="11" t="str">
        <f t="shared" si="2"/>
        <v/>
      </c>
      <c r="H23" s="11" t="str">
        <f t="shared" si="3"/>
        <v/>
      </c>
      <c r="I23" s="12" t="str">
        <f t="shared" si="4"/>
        <v/>
      </c>
      <c r="J23" s="13" t="str">
        <f t="shared" si="5"/>
        <v/>
      </c>
    </row>
    <row r="24" spans="1:10" ht="23.1" customHeight="1">
      <c r="A24" s="1" t="str">
        <f>IF(COUNTA(B24:C24)=0,"",16)</f>
        <v/>
      </c>
      <c r="B24" s="8"/>
      <c r="C24" s="9"/>
      <c r="D24" s="10" t="str">
        <f t="shared" si="0"/>
        <v/>
      </c>
      <c r="E24" s="1"/>
      <c r="F24" s="11" t="str">
        <f t="shared" si="1"/>
        <v/>
      </c>
      <c r="G24" s="11" t="str">
        <f t="shared" si="2"/>
        <v/>
      </c>
      <c r="H24" s="11" t="str">
        <f t="shared" si="3"/>
        <v/>
      </c>
      <c r="I24" s="12" t="str">
        <f t="shared" si="4"/>
        <v/>
      </c>
      <c r="J24" s="13" t="str">
        <f t="shared" si="5"/>
        <v/>
      </c>
    </row>
    <row r="25" spans="1:10" ht="23.1" customHeight="1">
      <c r="A25" s="1" t="str">
        <f>IF(COUNTA(B25:C25)=0,"",17)</f>
        <v/>
      </c>
      <c r="B25" s="8"/>
      <c r="C25" s="9"/>
      <c r="D25" s="10" t="str">
        <f t="shared" si="0"/>
        <v/>
      </c>
      <c r="E25" s="1"/>
      <c r="F25" s="11" t="str">
        <f t="shared" si="1"/>
        <v/>
      </c>
      <c r="G25" s="11" t="str">
        <f t="shared" si="2"/>
        <v/>
      </c>
      <c r="H25" s="11" t="str">
        <f t="shared" si="3"/>
        <v/>
      </c>
      <c r="I25" s="12" t="str">
        <f t="shared" si="4"/>
        <v/>
      </c>
      <c r="J25" s="13" t="str">
        <f t="shared" si="5"/>
        <v/>
      </c>
    </row>
    <row r="26" spans="1:10" ht="23.1" customHeight="1">
      <c r="A26" s="1" t="str">
        <f>IF(COUNTA(B26:C26)=0,"",18)</f>
        <v/>
      </c>
      <c r="B26" s="8"/>
      <c r="C26" s="9"/>
      <c r="D26" s="10" t="str">
        <f t="shared" si="0"/>
        <v/>
      </c>
      <c r="E26" s="1"/>
      <c r="F26" s="11" t="str">
        <f t="shared" si="1"/>
        <v/>
      </c>
      <c r="G26" s="11" t="str">
        <f t="shared" si="2"/>
        <v/>
      </c>
      <c r="H26" s="11" t="str">
        <f t="shared" si="3"/>
        <v/>
      </c>
      <c r="I26" s="12" t="str">
        <f t="shared" si="4"/>
        <v/>
      </c>
      <c r="J26" s="13" t="str">
        <f t="shared" si="5"/>
        <v/>
      </c>
    </row>
    <row r="27" spans="1:10" ht="23.1" customHeight="1">
      <c r="A27" s="1" t="str">
        <f>IF(COUNTA(B27:C27)=0,"",19)</f>
        <v/>
      </c>
      <c r="B27" s="8"/>
      <c r="C27" s="9"/>
      <c r="D27" s="10" t="str">
        <f t="shared" si="0"/>
        <v/>
      </c>
      <c r="E27" s="1"/>
      <c r="F27" s="11" t="str">
        <f t="shared" si="1"/>
        <v/>
      </c>
      <c r="G27" s="11" t="str">
        <f t="shared" si="2"/>
        <v/>
      </c>
      <c r="H27" s="11" t="str">
        <f t="shared" si="3"/>
        <v/>
      </c>
      <c r="I27" s="12" t="str">
        <f t="shared" si="4"/>
        <v/>
      </c>
      <c r="J27" s="13" t="str">
        <f t="shared" si="5"/>
        <v/>
      </c>
    </row>
    <row r="28" spans="1:10" ht="23.1" customHeight="1">
      <c r="A28" s="1" t="str">
        <f>IF(COUNTA(B28:C28)=0,"",20)</f>
        <v/>
      </c>
      <c r="B28" s="8"/>
      <c r="C28" s="9"/>
      <c r="D28" s="10" t="str">
        <f t="shared" si="0"/>
        <v/>
      </c>
      <c r="E28" s="1"/>
      <c r="F28" s="11" t="str">
        <f t="shared" si="1"/>
        <v/>
      </c>
      <c r="G28" s="11" t="str">
        <f t="shared" si="2"/>
        <v/>
      </c>
      <c r="H28" s="11" t="str">
        <f t="shared" si="3"/>
        <v/>
      </c>
      <c r="I28" s="12" t="str">
        <f t="shared" si="4"/>
        <v/>
      </c>
      <c r="J28" s="13" t="str">
        <f t="shared" si="5"/>
        <v/>
      </c>
    </row>
    <row r="29" spans="1:10" ht="23.1" customHeight="1">
      <c r="A29" s="1" t="str">
        <f>IF(COUNTA(B29:C29)=0,"",21)</f>
        <v/>
      </c>
      <c r="B29" s="8"/>
      <c r="C29" s="9"/>
      <c r="D29" s="10" t="str">
        <f t="shared" si="0"/>
        <v/>
      </c>
      <c r="E29" s="1"/>
      <c r="F29" s="11" t="str">
        <f t="shared" si="1"/>
        <v/>
      </c>
      <c r="G29" s="11" t="str">
        <f t="shared" si="2"/>
        <v/>
      </c>
      <c r="H29" s="11" t="str">
        <f t="shared" si="3"/>
        <v/>
      </c>
      <c r="I29" s="12" t="str">
        <f t="shared" si="4"/>
        <v/>
      </c>
      <c r="J29" s="13" t="str">
        <f t="shared" si="5"/>
        <v/>
      </c>
    </row>
    <row r="30" spans="1:10" ht="23.1" customHeight="1">
      <c r="A30" s="1" t="str">
        <f>IF(COUNTA(B30:C30)=0,"",22)</f>
        <v/>
      </c>
      <c r="B30" s="8"/>
      <c r="C30" s="9"/>
      <c r="D30" s="10" t="str">
        <f t="shared" si="0"/>
        <v/>
      </c>
      <c r="E30" s="1"/>
      <c r="F30" s="11" t="str">
        <f t="shared" si="1"/>
        <v/>
      </c>
      <c r="G30" s="11" t="str">
        <f t="shared" si="2"/>
        <v/>
      </c>
      <c r="H30" s="11" t="str">
        <f t="shared" si="3"/>
        <v/>
      </c>
      <c r="I30" s="12" t="str">
        <f t="shared" si="4"/>
        <v/>
      </c>
      <c r="J30" s="13" t="str">
        <f t="shared" si="5"/>
        <v/>
      </c>
    </row>
    <row r="31" spans="1:10" ht="23.1" customHeight="1">
      <c r="A31" s="1" t="str">
        <f>IF(COUNTA(B31:C31)=0,"",23)</f>
        <v/>
      </c>
      <c r="B31" s="8"/>
      <c r="C31" s="9"/>
      <c r="D31" s="10" t="str">
        <f t="shared" si="0"/>
        <v/>
      </c>
      <c r="E31" s="1"/>
      <c r="F31" s="11" t="str">
        <f t="shared" si="1"/>
        <v/>
      </c>
      <c r="G31" s="11" t="str">
        <f t="shared" si="2"/>
        <v/>
      </c>
      <c r="H31" s="11" t="str">
        <f t="shared" si="3"/>
        <v/>
      </c>
      <c r="I31" s="12" t="str">
        <f t="shared" si="4"/>
        <v/>
      </c>
      <c r="J31" s="13" t="str">
        <f t="shared" si="5"/>
        <v/>
      </c>
    </row>
    <row r="32" spans="1:10" ht="23.1" customHeight="1">
      <c r="A32" s="1" t="str">
        <f>IF(COUNTA(B32:C32)=0,"",24)</f>
        <v/>
      </c>
      <c r="B32" s="8"/>
      <c r="C32" s="9"/>
      <c r="D32" s="10" t="str">
        <f t="shared" si="0"/>
        <v/>
      </c>
      <c r="E32" s="1"/>
      <c r="F32" s="11" t="str">
        <f t="shared" si="1"/>
        <v/>
      </c>
      <c r="G32" s="11" t="str">
        <f t="shared" si="2"/>
        <v/>
      </c>
      <c r="H32" s="11" t="str">
        <f t="shared" si="3"/>
        <v/>
      </c>
      <c r="I32" s="12" t="str">
        <f t="shared" si="4"/>
        <v/>
      </c>
      <c r="J32" s="13" t="str">
        <f t="shared" si="5"/>
        <v/>
      </c>
    </row>
    <row r="33" spans="1:10" ht="23.1" customHeight="1">
      <c r="A33" s="1" t="str">
        <f>IF(COUNTA(B33:C33)=0,"",25)</f>
        <v/>
      </c>
      <c r="B33" s="8"/>
      <c r="C33" s="9"/>
      <c r="D33" s="10" t="str">
        <f t="shared" si="0"/>
        <v/>
      </c>
      <c r="E33" s="1"/>
      <c r="F33" s="11" t="str">
        <f t="shared" si="1"/>
        <v/>
      </c>
      <c r="G33" s="11" t="str">
        <f t="shared" si="2"/>
        <v/>
      </c>
      <c r="H33" s="11" t="str">
        <f t="shared" si="3"/>
        <v/>
      </c>
      <c r="I33" s="12" t="str">
        <f t="shared" si="4"/>
        <v/>
      </c>
      <c r="J33" s="13" t="str">
        <f t="shared" si="5"/>
        <v/>
      </c>
    </row>
    <row r="34" spans="1:10" ht="23.1" customHeight="1">
      <c r="A34" s="1" t="str">
        <f>IF(COUNTA(B34:C34)=0,"",26)</f>
        <v/>
      </c>
      <c r="B34" s="8"/>
      <c r="C34" s="9"/>
      <c r="D34" s="10" t="str">
        <f t="shared" si="0"/>
        <v/>
      </c>
      <c r="E34" s="1"/>
      <c r="F34" s="11" t="str">
        <f t="shared" si="1"/>
        <v/>
      </c>
      <c r="G34" s="11" t="str">
        <f t="shared" si="2"/>
        <v/>
      </c>
      <c r="H34" s="11" t="str">
        <f t="shared" si="3"/>
        <v/>
      </c>
      <c r="I34" s="12" t="str">
        <f t="shared" si="4"/>
        <v/>
      </c>
      <c r="J34" s="13" t="str">
        <f t="shared" si="5"/>
        <v/>
      </c>
    </row>
    <row r="35" spans="1:10" ht="23.1" customHeight="1">
      <c r="A35" s="1" t="str">
        <f>IF(COUNTA(B35:C35)=0,"",27)</f>
        <v/>
      </c>
      <c r="B35" s="8"/>
      <c r="C35" s="9"/>
      <c r="D35" s="10" t="str">
        <f t="shared" si="0"/>
        <v/>
      </c>
      <c r="E35" s="1"/>
      <c r="F35" s="11" t="str">
        <f t="shared" si="1"/>
        <v/>
      </c>
      <c r="G35" s="11" t="str">
        <f t="shared" si="2"/>
        <v/>
      </c>
      <c r="H35" s="11" t="str">
        <f t="shared" si="3"/>
        <v/>
      </c>
      <c r="I35" s="12" t="str">
        <f t="shared" si="4"/>
        <v/>
      </c>
      <c r="J35" s="13" t="str">
        <f t="shared" si="5"/>
        <v/>
      </c>
    </row>
    <row r="36" spans="1:10" ht="23.1" customHeight="1">
      <c r="A36" s="1" t="str">
        <f>IF(COUNTA(B36:C36)=0,"",28)</f>
        <v/>
      </c>
      <c r="B36" s="8"/>
      <c r="C36" s="9"/>
      <c r="D36" s="10" t="str">
        <f t="shared" si="0"/>
        <v/>
      </c>
      <c r="E36" s="1"/>
      <c r="F36" s="11" t="str">
        <f t="shared" si="1"/>
        <v/>
      </c>
      <c r="G36" s="11" t="str">
        <f t="shared" si="2"/>
        <v/>
      </c>
      <c r="H36" s="11" t="str">
        <f t="shared" si="3"/>
        <v/>
      </c>
      <c r="I36" s="12" t="str">
        <f t="shared" si="4"/>
        <v/>
      </c>
      <c r="J36" s="13" t="str">
        <f t="shared" si="5"/>
        <v/>
      </c>
    </row>
    <row r="37" spans="1:10" ht="23.1" customHeight="1">
      <c r="A37" s="1" t="str">
        <f>IF(COUNTA(B37:C37)=0,"",29)</f>
        <v/>
      </c>
      <c r="B37" s="8"/>
      <c r="C37" s="9"/>
      <c r="D37" s="10" t="str">
        <f t="shared" si="0"/>
        <v/>
      </c>
      <c r="E37" s="1"/>
      <c r="F37" s="11" t="str">
        <f t="shared" si="1"/>
        <v/>
      </c>
      <c r="G37" s="11" t="str">
        <f t="shared" si="2"/>
        <v/>
      </c>
      <c r="H37" s="11" t="str">
        <f t="shared" si="3"/>
        <v/>
      </c>
      <c r="I37" s="12" t="str">
        <f t="shared" si="4"/>
        <v/>
      </c>
      <c r="J37" s="13" t="str">
        <f t="shared" si="5"/>
        <v/>
      </c>
    </row>
    <row r="38" spans="1:10" ht="23.1" customHeight="1">
      <c r="A38" s="1" t="str">
        <f>IF(COUNTA(B38:C38)=0,"",30)</f>
        <v/>
      </c>
      <c r="B38" s="8"/>
      <c r="C38" s="9"/>
      <c r="D38" s="10" t="str">
        <f t="shared" si="0"/>
        <v/>
      </c>
      <c r="E38" s="1"/>
      <c r="F38" s="11" t="str">
        <f t="shared" si="1"/>
        <v/>
      </c>
      <c r="G38" s="11" t="str">
        <f t="shared" si="2"/>
        <v/>
      </c>
      <c r="H38" s="11" t="str">
        <f t="shared" si="3"/>
        <v/>
      </c>
      <c r="I38" s="12" t="str">
        <f t="shared" si="4"/>
        <v/>
      </c>
      <c r="J38" s="13" t="str">
        <f t="shared" si="5"/>
        <v/>
      </c>
    </row>
    <row r="39" spans="1:10" ht="23.1" customHeight="1">
      <c r="A39" s="1" t="str">
        <f>IF(COUNTA(B39:C39)=0,"",31)</f>
        <v/>
      </c>
      <c r="B39" s="8"/>
      <c r="C39" s="9"/>
      <c r="D39" s="10" t="str">
        <f t="shared" si="0"/>
        <v/>
      </c>
      <c r="E39" s="1"/>
      <c r="F39" s="11" t="str">
        <f t="shared" si="1"/>
        <v/>
      </c>
      <c r="G39" s="11" t="str">
        <f t="shared" si="2"/>
        <v/>
      </c>
      <c r="H39" s="11" t="str">
        <f t="shared" si="3"/>
        <v/>
      </c>
      <c r="I39" s="12" t="str">
        <f t="shared" si="4"/>
        <v/>
      </c>
      <c r="J39" s="13" t="str">
        <f t="shared" si="5"/>
        <v/>
      </c>
    </row>
    <row r="40" spans="1:10" ht="23.1" customHeight="1">
      <c r="A40" s="1" t="str">
        <f>IF(COUNTA(B40:C40)=0,"",32)</f>
        <v/>
      </c>
      <c r="B40" s="8"/>
      <c r="C40" s="9"/>
      <c r="D40" s="10" t="str">
        <f t="shared" si="0"/>
        <v/>
      </c>
      <c r="E40" s="1"/>
      <c r="F40" s="11" t="str">
        <f t="shared" si="1"/>
        <v/>
      </c>
      <c r="G40" s="11" t="str">
        <f t="shared" si="2"/>
        <v/>
      </c>
      <c r="H40" s="11" t="str">
        <f t="shared" si="3"/>
        <v/>
      </c>
      <c r="I40" s="12" t="str">
        <f t="shared" si="4"/>
        <v/>
      </c>
      <c r="J40" s="13" t="str">
        <f t="shared" si="5"/>
        <v/>
      </c>
    </row>
    <row r="41" spans="1:10" ht="23.1" customHeight="1">
      <c r="A41" s="1" t="str">
        <f>IF(COUNTA(B41:C41)=0,"",33)</f>
        <v/>
      </c>
      <c r="B41" s="8"/>
      <c r="C41" s="9"/>
      <c r="D41" s="10" t="str">
        <f t="shared" si="0"/>
        <v/>
      </c>
      <c r="E41" s="1"/>
      <c r="F41" s="11" t="str">
        <f t="shared" si="1"/>
        <v/>
      </c>
      <c r="G41" s="11" t="str">
        <f t="shared" si="2"/>
        <v/>
      </c>
      <c r="H41" s="11" t="str">
        <f t="shared" si="3"/>
        <v/>
      </c>
      <c r="I41" s="12" t="str">
        <f t="shared" si="4"/>
        <v/>
      </c>
      <c r="J41" s="13" t="str">
        <f t="shared" si="5"/>
        <v/>
      </c>
    </row>
    <row r="42" spans="1:10" ht="23.1" customHeight="1">
      <c r="A42" s="1" t="str">
        <f>IF(COUNTA(B42:C42)=0,"",34)</f>
        <v/>
      </c>
      <c r="B42" s="8"/>
      <c r="C42" s="9"/>
      <c r="D42" s="10" t="str">
        <f t="shared" si="0"/>
        <v/>
      </c>
      <c r="E42" s="1"/>
      <c r="F42" s="11" t="str">
        <f t="shared" si="1"/>
        <v/>
      </c>
      <c r="G42" s="11" t="str">
        <f t="shared" si="2"/>
        <v/>
      </c>
      <c r="H42" s="11" t="str">
        <f t="shared" si="3"/>
        <v/>
      </c>
      <c r="I42" s="12" t="str">
        <f t="shared" si="4"/>
        <v/>
      </c>
      <c r="J42" s="13" t="str">
        <f t="shared" si="5"/>
        <v/>
      </c>
    </row>
    <row r="43" spans="1:10" ht="23.1" customHeight="1">
      <c r="A43" s="1" t="str">
        <f>IF(COUNTA(B43:C43)=0,"",35)</f>
        <v/>
      </c>
      <c r="B43" s="8"/>
      <c r="C43" s="9"/>
      <c r="D43" s="10" t="str">
        <f t="shared" si="0"/>
        <v/>
      </c>
      <c r="E43" s="1"/>
      <c r="F43" s="11" t="str">
        <f t="shared" si="1"/>
        <v/>
      </c>
      <c r="G43" s="11" t="str">
        <f t="shared" si="2"/>
        <v/>
      </c>
      <c r="H43" s="11" t="str">
        <f t="shared" si="3"/>
        <v/>
      </c>
      <c r="I43" s="12" t="str">
        <f t="shared" si="4"/>
        <v/>
      </c>
      <c r="J43" s="13" t="str">
        <f t="shared" si="5"/>
        <v/>
      </c>
    </row>
    <row r="44" spans="1:10" ht="23.1" customHeight="1">
      <c r="A44" s="1" t="str">
        <f>IF(COUNTA(B44:C44)=0,"",36)</f>
        <v/>
      </c>
      <c r="B44" s="8"/>
      <c r="C44" s="9"/>
      <c r="D44" s="10" t="str">
        <f t="shared" si="0"/>
        <v/>
      </c>
      <c r="E44" s="1"/>
      <c r="F44" s="11" t="str">
        <f t="shared" si="1"/>
        <v/>
      </c>
      <c r="G44" s="11" t="str">
        <f t="shared" si="2"/>
        <v/>
      </c>
      <c r="H44" s="11" t="str">
        <f t="shared" si="3"/>
        <v/>
      </c>
      <c r="I44" s="12" t="str">
        <f t="shared" si="4"/>
        <v/>
      </c>
      <c r="J44" s="13" t="str">
        <f t="shared" si="5"/>
        <v/>
      </c>
    </row>
    <row r="45" spans="1:10" ht="23.1" customHeight="1">
      <c r="A45" s="1" t="str">
        <f>IF(COUNTA(B45:C45)=0,"",37)</f>
        <v/>
      </c>
      <c r="B45" s="8"/>
      <c r="C45" s="9"/>
      <c r="D45" s="10" t="str">
        <f t="shared" si="0"/>
        <v/>
      </c>
      <c r="E45" s="1"/>
      <c r="F45" s="11" t="str">
        <f t="shared" si="1"/>
        <v/>
      </c>
      <c r="G45" s="11" t="str">
        <f t="shared" si="2"/>
        <v/>
      </c>
      <c r="H45" s="11" t="str">
        <f t="shared" si="3"/>
        <v/>
      </c>
      <c r="I45" s="12" t="str">
        <f t="shared" si="4"/>
        <v/>
      </c>
      <c r="J45" s="13" t="str">
        <f t="shared" si="5"/>
        <v/>
      </c>
    </row>
    <row r="46" spans="1:10" ht="23.1" customHeight="1">
      <c r="A46" s="1" t="str">
        <f>IF(COUNTA(B46:C46)=0,"",38)</f>
        <v/>
      </c>
      <c r="B46" s="8"/>
      <c r="C46" s="9"/>
      <c r="D46" s="10" t="str">
        <f t="shared" si="0"/>
        <v/>
      </c>
      <c r="E46" s="1"/>
      <c r="F46" s="11" t="str">
        <f t="shared" si="1"/>
        <v/>
      </c>
      <c r="G46" s="11" t="str">
        <f t="shared" si="2"/>
        <v/>
      </c>
      <c r="H46" s="11" t="str">
        <f t="shared" si="3"/>
        <v/>
      </c>
      <c r="I46" s="12" t="str">
        <f t="shared" si="4"/>
        <v/>
      </c>
      <c r="J46" s="13" t="str">
        <f t="shared" si="5"/>
        <v/>
      </c>
    </row>
    <row r="47" spans="1:10" ht="23.1" customHeight="1">
      <c r="A47" s="1" t="str">
        <f>IF(COUNTA(B47:C47)=0,"",39)</f>
        <v/>
      </c>
      <c r="B47" s="8"/>
      <c r="C47" s="9"/>
      <c r="D47" s="10" t="str">
        <f t="shared" si="0"/>
        <v/>
      </c>
      <c r="E47" s="1"/>
      <c r="F47" s="11" t="str">
        <f t="shared" si="1"/>
        <v/>
      </c>
      <c r="G47" s="11" t="str">
        <f t="shared" si="2"/>
        <v/>
      </c>
      <c r="H47" s="11" t="str">
        <f t="shared" si="3"/>
        <v/>
      </c>
      <c r="I47" s="12" t="str">
        <f t="shared" si="4"/>
        <v/>
      </c>
      <c r="J47" s="13" t="str">
        <f t="shared" si="5"/>
        <v/>
      </c>
    </row>
    <row r="48" spans="1:10" ht="23.1" customHeight="1">
      <c r="A48" s="1" t="str">
        <f>IF(COUNTA(B48:C48)=0,"",40)</f>
        <v/>
      </c>
      <c r="B48" s="8"/>
      <c r="C48" s="9"/>
      <c r="D48" s="10" t="str">
        <f t="shared" si="0"/>
        <v/>
      </c>
      <c r="E48" s="1"/>
      <c r="F48" s="11" t="str">
        <f t="shared" si="1"/>
        <v/>
      </c>
      <c r="G48" s="11" t="str">
        <f t="shared" si="2"/>
        <v/>
      </c>
      <c r="H48" s="11" t="str">
        <f t="shared" si="3"/>
        <v/>
      </c>
      <c r="I48" s="12" t="str">
        <f t="shared" si="4"/>
        <v/>
      </c>
      <c r="J48" s="13" t="str">
        <f t="shared" si="5"/>
        <v/>
      </c>
    </row>
    <row r="49" spans="1:10" ht="23.1" customHeight="1">
      <c r="A49" s="1" t="str">
        <f>IF(COUNTA(B49:C49)=0,"",41)</f>
        <v/>
      </c>
      <c r="B49" s="8"/>
      <c r="C49" s="9"/>
      <c r="D49" s="10" t="str">
        <f t="shared" si="0"/>
        <v/>
      </c>
      <c r="E49" s="1"/>
      <c r="F49" s="11" t="str">
        <f t="shared" si="1"/>
        <v/>
      </c>
      <c r="G49" s="11" t="str">
        <f t="shared" si="2"/>
        <v/>
      </c>
      <c r="H49" s="11" t="str">
        <f t="shared" si="3"/>
        <v/>
      </c>
      <c r="I49" s="12" t="str">
        <f t="shared" si="4"/>
        <v/>
      </c>
      <c r="J49" s="13" t="str">
        <f t="shared" si="5"/>
        <v/>
      </c>
    </row>
    <row r="50" spans="1:10" ht="23.1" customHeight="1">
      <c r="A50" s="1" t="str">
        <f>IF(COUNTA(B50:C50)=0,"",42)</f>
        <v/>
      </c>
      <c r="B50" s="8"/>
      <c r="C50" s="9"/>
      <c r="D50" s="10" t="str">
        <f t="shared" si="0"/>
        <v/>
      </c>
      <c r="E50" s="1"/>
      <c r="F50" s="11" t="str">
        <f t="shared" si="1"/>
        <v/>
      </c>
      <c r="G50" s="11" t="str">
        <f t="shared" si="2"/>
        <v/>
      </c>
      <c r="H50" s="11" t="str">
        <f t="shared" si="3"/>
        <v/>
      </c>
      <c r="I50" s="12" t="str">
        <f t="shared" si="4"/>
        <v/>
      </c>
      <c r="J50" s="13" t="str">
        <f t="shared" si="5"/>
        <v/>
      </c>
    </row>
    <row r="51" spans="1:10" ht="23.1" customHeight="1">
      <c r="A51" s="1" t="str">
        <f>IF(COUNTA(B51:C51)=0,"",43)</f>
        <v/>
      </c>
      <c r="B51" s="8"/>
      <c r="C51" s="9"/>
      <c r="D51" s="10" t="str">
        <f t="shared" si="0"/>
        <v/>
      </c>
      <c r="E51" s="1"/>
      <c r="F51" s="11" t="str">
        <f t="shared" si="1"/>
        <v/>
      </c>
      <c r="G51" s="11" t="str">
        <f t="shared" si="2"/>
        <v/>
      </c>
      <c r="H51" s="11" t="str">
        <f t="shared" si="3"/>
        <v/>
      </c>
      <c r="I51" s="12" t="str">
        <f t="shared" si="4"/>
        <v/>
      </c>
      <c r="J51" s="13" t="str">
        <f t="shared" si="5"/>
        <v/>
      </c>
    </row>
    <row r="52" spans="1:10" ht="23.1" customHeight="1">
      <c r="A52" s="1" t="str">
        <f>IF(COUNTA(B52:C52)=0,"",44)</f>
        <v/>
      </c>
      <c r="B52" s="8"/>
      <c r="C52" s="9"/>
      <c r="D52" s="10" t="str">
        <f t="shared" si="0"/>
        <v/>
      </c>
      <c r="E52" s="1"/>
      <c r="F52" s="11" t="str">
        <f t="shared" si="1"/>
        <v/>
      </c>
      <c r="G52" s="11" t="str">
        <f t="shared" si="2"/>
        <v/>
      </c>
      <c r="H52" s="11" t="str">
        <f t="shared" si="3"/>
        <v/>
      </c>
      <c r="I52" s="12" t="str">
        <f t="shared" si="4"/>
        <v/>
      </c>
      <c r="J52" s="13" t="str">
        <f t="shared" si="5"/>
        <v/>
      </c>
    </row>
    <row r="53" spans="1:10" ht="23.1" customHeight="1">
      <c r="A53" s="1" t="str">
        <f>IF(COUNTA(B53:C53)=0,"",45)</f>
        <v/>
      </c>
      <c r="B53" s="8"/>
      <c r="C53" s="9"/>
      <c r="D53" s="10" t="str">
        <f t="shared" si="0"/>
        <v/>
      </c>
      <c r="E53" s="1"/>
      <c r="F53" s="11" t="str">
        <f t="shared" si="1"/>
        <v/>
      </c>
      <c r="G53" s="11" t="str">
        <f t="shared" si="2"/>
        <v/>
      </c>
      <c r="H53" s="11" t="str">
        <f t="shared" si="3"/>
        <v/>
      </c>
      <c r="I53" s="12" t="str">
        <f t="shared" si="4"/>
        <v/>
      </c>
      <c r="J53" s="13" t="str">
        <f t="shared" si="5"/>
        <v/>
      </c>
    </row>
    <row r="54" spans="1:10" ht="23.1" customHeight="1">
      <c r="A54" s="1" t="str">
        <f>IF(COUNTA(B54:C54)=0,"",46)</f>
        <v/>
      </c>
      <c r="B54" s="8"/>
      <c r="C54" s="9"/>
      <c r="D54" s="10" t="str">
        <f t="shared" si="0"/>
        <v/>
      </c>
      <c r="E54" s="1"/>
      <c r="F54" s="11" t="str">
        <f t="shared" si="1"/>
        <v/>
      </c>
      <c r="G54" s="11" t="str">
        <f t="shared" si="2"/>
        <v/>
      </c>
      <c r="H54" s="11" t="str">
        <f t="shared" si="3"/>
        <v/>
      </c>
      <c r="I54" s="12" t="str">
        <f t="shared" si="4"/>
        <v/>
      </c>
      <c r="J54" s="13" t="str">
        <f t="shared" si="5"/>
        <v/>
      </c>
    </row>
    <row r="55" spans="1:10" ht="23.1" customHeight="1">
      <c r="A55" s="1" t="str">
        <f>IF(COUNTA(B55:C55)=0,"",47)</f>
        <v/>
      </c>
      <c r="B55" s="8"/>
      <c r="C55" s="9"/>
      <c r="D55" s="10" t="str">
        <f t="shared" si="0"/>
        <v/>
      </c>
      <c r="E55" s="1"/>
      <c r="F55" s="11" t="str">
        <f t="shared" si="1"/>
        <v/>
      </c>
      <c r="G55" s="11" t="str">
        <f t="shared" si="2"/>
        <v/>
      </c>
      <c r="H55" s="11" t="str">
        <f t="shared" si="3"/>
        <v/>
      </c>
      <c r="I55" s="12" t="str">
        <f t="shared" si="4"/>
        <v/>
      </c>
      <c r="J55" s="13" t="str">
        <f t="shared" si="5"/>
        <v/>
      </c>
    </row>
    <row r="56" spans="1:10" ht="23.1" customHeight="1">
      <c r="A56" s="1" t="str">
        <f>IF(COUNTA(B56:C56)=0,"",48)</f>
        <v/>
      </c>
      <c r="B56" s="8"/>
      <c r="C56" s="9"/>
      <c r="D56" s="10" t="str">
        <f t="shared" si="0"/>
        <v/>
      </c>
      <c r="E56" s="1"/>
      <c r="F56" s="11" t="str">
        <f t="shared" si="1"/>
        <v/>
      </c>
      <c r="G56" s="11" t="str">
        <f t="shared" si="2"/>
        <v/>
      </c>
      <c r="H56" s="11" t="str">
        <f t="shared" si="3"/>
        <v/>
      </c>
      <c r="I56" s="12" t="str">
        <f t="shared" si="4"/>
        <v/>
      </c>
      <c r="J56" s="13" t="str">
        <f t="shared" si="5"/>
        <v/>
      </c>
    </row>
    <row r="57" spans="1:10" ht="23.1" customHeight="1">
      <c r="A57" s="1" t="str">
        <f>IF(COUNTA(B57:C57)=0,"",49)</f>
        <v/>
      </c>
      <c r="B57" s="8"/>
      <c r="C57" s="9"/>
      <c r="D57" s="10" t="str">
        <f t="shared" si="0"/>
        <v/>
      </c>
      <c r="E57" s="1"/>
      <c r="F57" s="11" t="str">
        <f t="shared" si="1"/>
        <v/>
      </c>
      <c r="G57" s="11" t="str">
        <f t="shared" si="2"/>
        <v/>
      </c>
      <c r="H57" s="11" t="str">
        <f t="shared" si="3"/>
        <v/>
      </c>
      <c r="I57" s="12" t="str">
        <f t="shared" si="4"/>
        <v/>
      </c>
      <c r="J57" s="13" t="str">
        <f t="shared" si="5"/>
        <v/>
      </c>
    </row>
    <row r="58" spans="1:10" ht="23.1" customHeight="1">
      <c r="A58" s="1" t="str">
        <f>IF(COUNTA(B58:C58)=0,"",50)</f>
        <v/>
      </c>
      <c r="B58" s="8"/>
      <c r="C58" s="9"/>
      <c r="D58" s="10" t="str">
        <f t="shared" si="0"/>
        <v/>
      </c>
      <c r="E58" s="1"/>
      <c r="F58" s="11" t="str">
        <f t="shared" si="1"/>
        <v/>
      </c>
      <c r="G58" s="11" t="str">
        <f t="shared" si="2"/>
        <v/>
      </c>
      <c r="H58" s="11" t="str">
        <f t="shared" si="3"/>
        <v/>
      </c>
      <c r="I58" s="12" t="str">
        <f t="shared" si="4"/>
        <v/>
      </c>
      <c r="J58" s="13" t="str">
        <f t="shared" si="5"/>
        <v/>
      </c>
    </row>
    <row r="59" spans="1:10" ht="23.1" customHeight="1">
      <c r="A59" s="1" t="str">
        <f>IF(COUNTA(B59:C59)=0,"",51)</f>
        <v/>
      </c>
      <c r="B59" s="8"/>
      <c r="C59" s="9"/>
      <c r="D59" s="10" t="str">
        <f t="shared" si="0"/>
        <v/>
      </c>
      <c r="E59" s="1"/>
      <c r="F59" s="11" t="str">
        <f t="shared" si="1"/>
        <v/>
      </c>
      <c r="G59" s="11" t="str">
        <f t="shared" si="2"/>
        <v/>
      </c>
      <c r="H59" s="11" t="str">
        <f t="shared" si="3"/>
        <v/>
      </c>
      <c r="I59" s="12" t="str">
        <f t="shared" si="4"/>
        <v/>
      </c>
      <c r="J59" s="13" t="str">
        <f t="shared" si="5"/>
        <v/>
      </c>
    </row>
    <row r="60" spans="1:10" ht="23.1" customHeight="1">
      <c r="A60" s="1" t="str">
        <f>IF(COUNTA(B60:C60)=0,"",52)</f>
        <v/>
      </c>
      <c r="B60" s="8"/>
      <c r="C60" s="9"/>
      <c r="D60" s="10" t="str">
        <f t="shared" si="0"/>
        <v/>
      </c>
      <c r="E60" s="1"/>
      <c r="F60" s="11" t="str">
        <f t="shared" si="1"/>
        <v/>
      </c>
      <c r="G60" s="11" t="str">
        <f t="shared" si="2"/>
        <v/>
      </c>
      <c r="H60" s="11" t="str">
        <f t="shared" si="3"/>
        <v/>
      </c>
      <c r="I60" s="12" t="str">
        <f t="shared" si="4"/>
        <v/>
      </c>
      <c r="J60" s="13" t="str">
        <f t="shared" si="5"/>
        <v/>
      </c>
    </row>
    <row r="61" spans="1:10" ht="23.1" customHeight="1">
      <c r="A61" s="1" t="str">
        <f>IF(COUNTA(B61:C61)=0,"",53)</f>
        <v/>
      </c>
      <c r="B61" s="8"/>
      <c r="C61" s="9"/>
      <c r="D61" s="10" t="str">
        <f t="shared" si="0"/>
        <v/>
      </c>
      <c r="E61" s="1"/>
      <c r="F61" s="11" t="str">
        <f t="shared" si="1"/>
        <v/>
      </c>
      <c r="G61" s="11" t="str">
        <f t="shared" si="2"/>
        <v/>
      </c>
      <c r="H61" s="11" t="str">
        <f t="shared" si="3"/>
        <v/>
      </c>
      <c r="I61" s="12" t="str">
        <f t="shared" si="4"/>
        <v/>
      </c>
      <c r="J61" s="13" t="str">
        <f t="shared" si="5"/>
        <v/>
      </c>
    </row>
    <row r="62" spans="1:10" ht="23.1" customHeight="1">
      <c r="A62" s="1" t="str">
        <f>IF(COUNTA(B62:C62)=0,"",54)</f>
        <v/>
      </c>
      <c r="B62" s="8"/>
      <c r="C62" s="9"/>
      <c r="D62" s="10" t="str">
        <f t="shared" si="0"/>
        <v/>
      </c>
      <c r="E62" s="1"/>
      <c r="F62" s="11" t="str">
        <f t="shared" si="1"/>
        <v/>
      </c>
      <c r="G62" s="11" t="str">
        <f t="shared" si="2"/>
        <v/>
      </c>
      <c r="H62" s="11" t="str">
        <f t="shared" si="3"/>
        <v/>
      </c>
      <c r="I62" s="12" t="str">
        <f t="shared" si="4"/>
        <v/>
      </c>
      <c r="J62" s="13" t="str">
        <f t="shared" si="5"/>
        <v/>
      </c>
    </row>
    <row r="63" spans="1:10" ht="23.1" customHeight="1">
      <c r="A63" s="1" t="str">
        <f>IF(COUNTA(B63:C63)=0,"",55)</f>
        <v/>
      </c>
      <c r="B63" s="8"/>
      <c r="C63" s="9"/>
      <c r="D63" s="10" t="str">
        <f t="shared" si="0"/>
        <v/>
      </c>
      <c r="E63" s="1"/>
      <c r="F63" s="11" t="str">
        <f t="shared" si="1"/>
        <v/>
      </c>
      <c r="G63" s="11" t="str">
        <f t="shared" si="2"/>
        <v/>
      </c>
      <c r="H63" s="11" t="str">
        <f t="shared" si="3"/>
        <v/>
      </c>
      <c r="I63" s="12" t="str">
        <f t="shared" si="4"/>
        <v/>
      </c>
      <c r="J63" s="13" t="str">
        <f t="shared" si="5"/>
        <v/>
      </c>
    </row>
    <row r="64" spans="1:10" ht="23.1" customHeight="1">
      <c r="A64" s="1" t="str">
        <f>IF(COUNTA(B64:C64)=0,"",56)</f>
        <v/>
      </c>
      <c r="B64" s="8"/>
      <c r="C64" s="9"/>
      <c r="D64" s="10" t="str">
        <f t="shared" si="0"/>
        <v/>
      </c>
      <c r="E64" s="1"/>
      <c r="F64" s="11" t="str">
        <f t="shared" si="1"/>
        <v/>
      </c>
      <c r="G64" s="11" t="str">
        <f t="shared" si="2"/>
        <v/>
      </c>
      <c r="H64" s="11" t="str">
        <f t="shared" si="3"/>
        <v/>
      </c>
      <c r="I64" s="12" t="str">
        <f t="shared" si="4"/>
        <v/>
      </c>
      <c r="J64" s="13" t="str">
        <f t="shared" si="5"/>
        <v/>
      </c>
    </row>
    <row r="65" spans="1:10" ht="23.1" customHeight="1">
      <c r="A65" s="1" t="str">
        <f>IF(COUNTA(B65:C65)=0,"",57)</f>
        <v/>
      </c>
      <c r="B65" s="8"/>
      <c r="C65" s="9"/>
      <c r="D65" s="10" t="str">
        <f t="shared" si="0"/>
        <v/>
      </c>
      <c r="E65" s="1"/>
      <c r="F65" s="11" t="str">
        <f t="shared" si="1"/>
        <v/>
      </c>
      <c r="G65" s="11" t="str">
        <f t="shared" si="2"/>
        <v/>
      </c>
      <c r="H65" s="11" t="str">
        <f t="shared" si="3"/>
        <v/>
      </c>
      <c r="I65" s="12" t="str">
        <f t="shared" si="4"/>
        <v/>
      </c>
      <c r="J65" s="13" t="str">
        <f t="shared" si="5"/>
        <v/>
      </c>
    </row>
    <row r="66" spans="1:10" ht="23.1" customHeight="1">
      <c r="A66" s="1" t="str">
        <f>IF(COUNTA(B66:C66)=0,"",58)</f>
        <v/>
      </c>
      <c r="B66" s="8"/>
      <c r="C66" s="9"/>
      <c r="D66" s="10" t="str">
        <f t="shared" si="0"/>
        <v/>
      </c>
      <c r="E66" s="1"/>
      <c r="F66" s="11" t="str">
        <f t="shared" si="1"/>
        <v/>
      </c>
      <c r="G66" s="11" t="str">
        <f t="shared" si="2"/>
        <v/>
      </c>
      <c r="H66" s="11" t="str">
        <f t="shared" si="3"/>
        <v/>
      </c>
      <c r="I66" s="12" t="str">
        <f t="shared" si="4"/>
        <v/>
      </c>
      <c r="J66" s="13" t="str">
        <f t="shared" si="5"/>
        <v/>
      </c>
    </row>
    <row r="67" spans="1:10" ht="23.1" customHeight="1">
      <c r="A67" s="1" t="str">
        <f>IF(COUNTA(B67:C67)=0,"",59)</f>
        <v/>
      </c>
      <c r="B67" s="8"/>
      <c r="C67" s="9"/>
      <c r="D67" s="10" t="str">
        <f t="shared" si="0"/>
        <v/>
      </c>
      <c r="E67" s="1"/>
      <c r="F67" s="11" t="str">
        <f t="shared" si="1"/>
        <v/>
      </c>
      <c r="G67" s="11" t="str">
        <f t="shared" si="2"/>
        <v/>
      </c>
      <c r="H67" s="11" t="str">
        <f t="shared" si="3"/>
        <v/>
      </c>
      <c r="I67" s="12" t="str">
        <f t="shared" si="4"/>
        <v/>
      </c>
      <c r="J67" s="13" t="str">
        <f t="shared" si="5"/>
        <v/>
      </c>
    </row>
    <row r="68" spans="1:10" ht="23.1" customHeight="1">
      <c r="A68" s="1" t="str">
        <f>IF(COUNTA(B68:C68)=0,"",60)</f>
        <v/>
      </c>
      <c r="B68" s="8"/>
      <c r="C68" s="9"/>
      <c r="D68" s="10" t="str">
        <f t="shared" si="0"/>
        <v/>
      </c>
      <c r="E68" s="1"/>
      <c r="F68" s="11" t="str">
        <f t="shared" si="1"/>
        <v/>
      </c>
      <c r="G68" s="11" t="str">
        <f t="shared" si="2"/>
        <v/>
      </c>
      <c r="H68" s="11" t="str">
        <f t="shared" si="3"/>
        <v/>
      </c>
      <c r="I68" s="12" t="str">
        <f t="shared" si="4"/>
        <v/>
      </c>
      <c r="J68" s="13" t="str">
        <f t="shared" si="5"/>
        <v/>
      </c>
    </row>
    <row r="69" spans="1:10" ht="23.1" customHeight="1">
      <c r="A69" s="1" t="str">
        <f>IF(COUNTA(B69:C69)=0,"",61)</f>
        <v/>
      </c>
      <c r="B69" s="8"/>
      <c r="C69" s="9"/>
      <c r="D69" s="10" t="str">
        <f t="shared" si="0"/>
        <v/>
      </c>
      <c r="E69" s="1"/>
      <c r="F69" s="11" t="str">
        <f t="shared" si="1"/>
        <v/>
      </c>
      <c r="G69" s="11" t="str">
        <f t="shared" si="2"/>
        <v/>
      </c>
      <c r="H69" s="11" t="str">
        <f t="shared" si="3"/>
        <v/>
      </c>
      <c r="I69" s="12" t="str">
        <f t="shared" si="4"/>
        <v/>
      </c>
      <c r="J69" s="13" t="str">
        <f t="shared" si="5"/>
        <v/>
      </c>
    </row>
    <row r="70" spans="1:10" ht="23.1" customHeight="1">
      <c r="A70" s="1" t="str">
        <f>IF(COUNTA(B70:C70)=0,"",62)</f>
        <v/>
      </c>
      <c r="B70" s="8"/>
      <c r="C70" s="9"/>
      <c r="D70" s="10" t="str">
        <f t="shared" si="0"/>
        <v/>
      </c>
      <c r="E70" s="1"/>
      <c r="F70" s="11" t="str">
        <f t="shared" si="1"/>
        <v/>
      </c>
      <c r="G70" s="11" t="str">
        <f t="shared" si="2"/>
        <v/>
      </c>
      <c r="H70" s="11" t="str">
        <f t="shared" si="3"/>
        <v/>
      </c>
      <c r="I70" s="12" t="str">
        <f t="shared" si="4"/>
        <v/>
      </c>
      <c r="J70" s="13" t="str">
        <f t="shared" si="5"/>
        <v/>
      </c>
    </row>
    <row r="71" spans="1:10" ht="23.1" customHeight="1">
      <c r="A71" s="1" t="str">
        <f>IF(COUNTA(B71:C71)=0,"",63)</f>
        <v/>
      </c>
      <c r="B71" s="8"/>
      <c r="C71" s="9"/>
      <c r="D71" s="10" t="str">
        <f t="shared" si="0"/>
        <v/>
      </c>
      <c r="E71" s="1"/>
      <c r="F71" s="11" t="str">
        <f t="shared" si="1"/>
        <v/>
      </c>
      <c r="G71" s="11" t="str">
        <f t="shared" si="2"/>
        <v/>
      </c>
      <c r="H71" s="11" t="str">
        <f t="shared" si="3"/>
        <v/>
      </c>
      <c r="I71" s="12" t="str">
        <f t="shared" si="4"/>
        <v/>
      </c>
      <c r="J71" s="13" t="str">
        <f t="shared" si="5"/>
        <v/>
      </c>
    </row>
    <row r="72" spans="1:10" ht="23.1" customHeight="1">
      <c r="A72" s="1" t="str">
        <f>IF(COUNTA(B72:C72)=0,"",64)</f>
        <v/>
      </c>
      <c r="B72" s="8"/>
      <c r="C72" s="9"/>
      <c r="D72" s="10" t="str">
        <f t="shared" si="0"/>
        <v/>
      </c>
      <c r="E72" s="1"/>
      <c r="F72" s="11" t="str">
        <f t="shared" si="1"/>
        <v/>
      </c>
      <c r="G72" s="11" t="str">
        <f t="shared" si="2"/>
        <v/>
      </c>
      <c r="H72" s="11" t="str">
        <f t="shared" si="3"/>
        <v/>
      </c>
      <c r="I72" s="12" t="str">
        <f t="shared" si="4"/>
        <v/>
      </c>
      <c r="J72" s="13" t="str">
        <f t="shared" si="5"/>
        <v/>
      </c>
    </row>
    <row r="73" spans="1:10" ht="23.1" customHeight="1">
      <c r="A73" s="1" t="str">
        <f>IF(COUNTA(B73:C73)=0,"",65)</f>
        <v/>
      </c>
      <c r="B73" s="8"/>
      <c r="C73" s="9"/>
      <c r="D73" s="10" t="str">
        <f t="shared" ref="D73:D136" si="6">IF(NOT(ISNUMBER(C73)),"",ROUND(C73*30%,2))</f>
        <v/>
      </c>
      <c r="E73" s="1"/>
      <c r="F73" s="11" t="str">
        <f t="shared" ref="F73:F136" si="7">IF(NOT(ISNUMBER(C73)),"",ROUND(H73*30%,2))</f>
        <v/>
      </c>
      <c r="G73" s="11" t="str">
        <f t="shared" ref="G73:G136" si="8">IF(NOT(ISNUMBER(C73)),"",ROUND(H73-F73,2))</f>
        <v/>
      </c>
      <c r="H73" s="11" t="str">
        <f t="shared" ref="H73:H136" si="9">IF(NOT(ISNUMBER(C73)),"",ROUND(C73-D73,2))</f>
        <v/>
      </c>
      <c r="I73" s="12" t="str">
        <f t="shared" ref="I73:I136" si="10">IF(NOT(ISNUMBER(C73)),"",ROUND(C73-SUM(D73,F73:G73),2))</f>
        <v/>
      </c>
      <c r="J73" s="13" t="str">
        <f t="shared" ref="J73:J136" si="11">IF(COUNTA(B73:C73)=0,"",IF(B73="","Falta apartamento",IF(NOT(ISNUMBER(C73)),"Falta valor","Completo")))</f>
        <v/>
      </c>
    </row>
    <row r="74" spans="1:10" ht="23.1" customHeight="1">
      <c r="A74" s="1" t="str">
        <f>IF(COUNTA(B74:C74)=0,"",66)</f>
        <v/>
      </c>
      <c r="B74" s="8"/>
      <c r="C74" s="9"/>
      <c r="D74" s="10" t="str">
        <f t="shared" si="6"/>
        <v/>
      </c>
      <c r="E74" s="1"/>
      <c r="F74" s="11" t="str">
        <f t="shared" si="7"/>
        <v/>
      </c>
      <c r="G74" s="11" t="str">
        <f t="shared" si="8"/>
        <v/>
      </c>
      <c r="H74" s="11" t="str">
        <f t="shared" si="9"/>
        <v/>
      </c>
      <c r="I74" s="12" t="str">
        <f t="shared" si="10"/>
        <v/>
      </c>
      <c r="J74" s="13" t="str">
        <f t="shared" si="11"/>
        <v/>
      </c>
    </row>
    <row r="75" spans="1:10" ht="23.1" customHeight="1">
      <c r="A75" s="1" t="str">
        <f>IF(COUNTA(B75:C75)=0,"",67)</f>
        <v/>
      </c>
      <c r="B75" s="8"/>
      <c r="C75" s="9"/>
      <c r="D75" s="10" t="str">
        <f t="shared" si="6"/>
        <v/>
      </c>
      <c r="E75" s="1"/>
      <c r="F75" s="11" t="str">
        <f t="shared" si="7"/>
        <v/>
      </c>
      <c r="G75" s="11" t="str">
        <f t="shared" si="8"/>
        <v/>
      </c>
      <c r="H75" s="11" t="str">
        <f t="shared" si="9"/>
        <v/>
      </c>
      <c r="I75" s="12" t="str">
        <f t="shared" si="10"/>
        <v/>
      </c>
      <c r="J75" s="13" t="str">
        <f t="shared" si="11"/>
        <v/>
      </c>
    </row>
    <row r="76" spans="1:10" ht="23.1" customHeight="1">
      <c r="A76" s="1" t="str">
        <f>IF(COUNTA(B76:C76)=0,"",68)</f>
        <v/>
      </c>
      <c r="B76" s="8"/>
      <c r="C76" s="9"/>
      <c r="D76" s="10" t="str">
        <f t="shared" si="6"/>
        <v/>
      </c>
      <c r="E76" s="1"/>
      <c r="F76" s="11" t="str">
        <f t="shared" si="7"/>
        <v/>
      </c>
      <c r="G76" s="11" t="str">
        <f t="shared" si="8"/>
        <v/>
      </c>
      <c r="H76" s="11" t="str">
        <f t="shared" si="9"/>
        <v/>
      </c>
      <c r="I76" s="12" t="str">
        <f t="shared" si="10"/>
        <v/>
      </c>
      <c r="J76" s="13" t="str">
        <f t="shared" si="11"/>
        <v/>
      </c>
    </row>
    <row r="77" spans="1:10" ht="23.1" customHeight="1">
      <c r="A77" s="1" t="str">
        <f>IF(COUNTA(B77:C77)=0,"",69)</f>
        <v/>
      </c>
      <c r="B77" s="8"/>
      <c r="C77" s="9"/>
      <c r="D77" s="10" t="str">
        <f t="shared" si="6"/>
        <v/>
      </c>
      <c r="E77" s="1"/>
      <c r="F77" s="11" t="str">
        <f t="shared" si="7"/>
        <v/>
      </c>
      <c r="G77" s="11" t="str">
        <f t="shared" si="8"/>
        <v/>
      </c>
      <c r="H77" s="11" t="str">
        <f t="shared" si="9"/>
        <v/>
      </c>
      <c r="I77" s="12" t="str">
        <f t="shared" si="10"/>
        <v/>
      </c>
      <c r="J77" s="13" t="str">
        <f t="shared" si="11"/>
        <v/>
      </c>
    </row>
    <row r="78" spans="1:10" ht="23.1" customHeight="1">
      <c r="A78" s="1" t="str">
        <f>IF(COUNTA(B78:C78)=0,"",70)</f>
        <v/>
      </c>
      <c r="B78" s="8"/>
      <c r="C78" s="9"/>
      <c r="D78" s="10" t="str">
        <f t="shared" si="6"/>
        <v/>
      </c>
      <c r="E78" s="1"/>
      <c r="F78" s="11" t="str">
        <f t="shared" si="7"/>
        <v/>
      </c>
      <c r="G78" s="11" t="str">
        <f t="shared" si="8"/>
        <v/>
      </c>
      <c r="H78" s="11" t="str">
        <f t="shared" si="9"/>
        <v/>
      </c>
      <c r="I78" s="12" t="str">
        <f t="shared" si="10"/>
        <v/>
      </c>
      <c r="J78" s="13" t="str">
        <f t="shared" si="11"/>
        <v/>
      </c>
    </row>
    <row r="79" spans="1:10" ht="23.1" customHeight="1">
      <c r="A79" s="1" t="str">
        <f>IF(COUNTA(B79:C79)=0,"",71)</f>
        <v/>
      </c>
      <c r="B79" s="8"/>
      <c r="C79" s="9"/>
      <c r="D79" s="10" t="str">
        <f t="shared" si="6"/>
        <v/>
      </c>
      <c r="E79" s="1"/>
      <c r="F79" s="11" t="str">
        <f t="shared" si="7"/>
        <v/>
      </c>
      <c r="G79" s="11" t="str">
        <f t="shared" si="8"/>
        <v/>
      </c>
      <c r="H79" s="11" t="str">
        <f t="shared" si="9"/>
        <v/>
      </c>
      <c r="I79" s="12" t="str">
        <f t="shared" si="10"/>
        <v/>
      </c>
      <c r="J79" s="13" t="str">
        <f t="shared" si="11"/>
        <v/>
      </c>
    </row>
    <row r="80" spans="1:10" ht="23.1" customHeight="1">
      <c r="A80" s="1" t="str">
        <f>IF(COUNTA(B80:C80)=0,"",72)</f>
        <v/>
      </c>
      <c r="B80" s="8"/>
      <c r="C80" s="9"/>
      <c r="D80" s="10" t="str">
        <f t="shared" si="6"/>
        <v/>
      </c>
      <c r="E80" s="1"/>
      <c r="F80" s="11" t="str">
        <f t="shared" si="7"/>
        <v/>
      </c>
      <c r="G80" s="11" t="str">
        <f t="shared" si="8"/>
        <v/>
      </c>
      <c r="H80" s="11" t="str">
        <f t="shared" si="9"/>
        <v/>
      </c>
      <c r="I80" s="12" t="str">
        <f t="shared" si="10"/>
        <v/>
      </c>
      <c r="J80" s="13" t="str">
        <f t="shared" si="11"/>
        <v/>
      </c>
    </row>
    <row r="81" spans="1:10" ht="23.1" customHeight="1">
      <c r="A81" s="1" t="str">
        <f>IF(COUNTA(B81:C81)=0,"",73)</f>
        <v/>
      </c>
      <c r="B81" s="8"/>
      <c r="C81" s="9"/>
      <c r="D81" s="10" t="str">
        <f t="shared" si="6"/>
        <v/>
      </c>
      <c r="E81" s="1"/>
      <c r="F81" s="11" t="str">
        <f t="shared" si="7"/>
        <v/>
      </c>
      <c r="G81" s="11" t="str">
        <f t="shared" si="8"/>
        <v/>
      </c>
      <c r="H81" s="11" t="str">
        <f t="shared" si="9"/>
        <v/>
      </c>
      <c r="I81" s="12" t="str">
        <f t="shared" si="10"/>
        <v/>
      </c>
      <c r="J81" s="13" t="str">
        <f t="shared" si="11"/>
        <v/>
      </c>
    </row>
    <row r="82" spans="1:10" ht="23.1" customHeight="1">
      <c r="A82" s="1" t="str">
        <f>IF(COUNTA(B82:C82)=0,"",74)</f>
        <v/>
      </c>
      <c r="B82" s="8"/>
      <c r="C82" s="9"/>
      <c r="D82" s="10" t="str">
        <f t="shared" si="6"/>
        <v/>
      </c>
      <c r="E82" s="1"/>
      <c r="F82" s="11" t="str">
        <f t="shared" si="7"/>
        <v/>
      </c>
      <c r="G82" s="11" t="str">
        <f t="shared" si="8"/>
        <v/>
      </c>
      <c r="H82" s="11" t="str">
        <f t="shared" si="9"/>
        <v/>
      </c>
      <c r="I82" s="12" t="str">
        <f t="shared" si="10"/>
        <v/>
      </c>
      <c r="J82" s="13" t="str">
        <f t="shared" si="11"/>
        <v/>
      </c>
    </row>
    <row r="83" spans="1:10" ht="23.1" customHeight="1">
      <c r="A83" s="1" t="str">
        <f>IF(COUNTA(B83:C83)=0,"",75)</f>
        <v/>
      </c>
      <c r="B83" s="8"/>
      <c r="C83" s="9"/>
      <c r="D83" s="10" t="str">
        <f t="shared" si="6"/>
        <v/>
      </c>
      <c r="E83" s="1"/>
      <c r="F83" s="11" t="str">
        <f t="shared" si="7"/>
        <v/>
      </c>
      <c r="G83" s="11" t="str">
        <f t="shared" si="8"/>
        <v/>
      </c>
      <c r="H83" s="11" t="str">
        <f t="shared" si="9"/>
        <v/>
      </c>
      <c r="I83" s="12" t="str">
        <f t="shared" si="10"/>
        <v/>
      </c>
      <c r="J83" s="13" t="str">
        <f t="shared" si="11"/>
        <v/>
      </c>
    </row>
    <row r="84" spans="1:10" ht="23.1" customHeight="1">
      <c r="A84" s="1" t="str">
        <f>IF(COUNTA(B84:C84)=0,"",76)</f>
        <v/>
      </c>
      <c r="B84" s="8"/>
      <c r="C84" s="9"/>
      <c r="D84" s="10" t="str">
        <f t="shared" si="6"/>
        <v/>
      </c>
      <c r="E84" s="1"/>
      <c r="F84" s="11" t="str">
        <f t="shared" si="7"/>
        <v/>
      </c>
      <c r="G84" s="11" t="str">
        <f t="shared" si="8"/>
        <v/>
      </c>
      <c r="H84" s="11" t="str">
        <f t="shared" si="9"/>
        <v/>
      </c>
      <c r="I84" s="12" t="str">
        <f t="shared" si="10"/>
        <v/>
      </c>
      <c r="J84" s="13" t="str">
        <f t="shared" si="11"/>
        <v/>
      </c>
    </row>
    <row r="85" spans="1:10" ht="23.1" customHeight="1">
      <c r="A85" s="1" t="str">
        <f>IF(COUNTA(B85:C85)=0,"",77)</f>
        <v/>
      </c>
      <c r="B85" s="8"/>
      <c r="C85" s="9"/>
      <c r="D85" s="10" t="str">
        <f t="shared" si="6"/>
        <v/>
      </c>
      <c r="E85" s="1"/>
      <c r="F85" s="11" t="str">
        <f t="shared" si="7"/>
        <v/>
      </c>
      <c r="G85" s="11" t="str">
        <f t="shared" si="8"/>
        <v/>
      </c>
      <c r="H85" s="11" t="str">
        <f t="shared" si="9"/>
        <v/>
      </c>
      <c r="I85" s="12" t="str">
        <f t="shared" si="10"/>
        <v/>
      </c>
      <c r="J85" s="13" t="str">
        <f t="shared" si="11"/>
        <v/>
      </c>
    </row>
    <row r="86" spans="1:10" ht="23.1" customHeight="1">
      <c r="A86" s="1" t="str">
        <f>IF(COUNTA(B86:C86)=0,"",78)</f>
        <v/>
      </c>
      <c r="B86" s="8"/>
      <c r="C86" s="9"/>
      <c r="D86" s="10" t="str">
        <f t="shared" si="6"/>
        <v/>
      </c>
      <c r="E86" s="1"/>
      <c r="F86" s="11" t="str">
        <f t="shared" si="7"/>
        <v/>
      </c>
      <c r="G86" s="11" t="str">
        <f t="shared" si="8"/>
        <v/>
      </c>
      <c r="H86" s="11" t="str">
        <f t="shared" si="9"/>
        <v/>
      </c>
      <c r="I86" s="12" t="str">
        <f t="shared" si="10"/>
        <v/>
      </c>
      <c r="J86" s="13" t="str">
        <f t="shared" si="11"/>
        <v/>
      </c>
    </row>
    <row r="87" spans="1:10" ht="23.1" customHeight="1">
      <c r="A87" s="1" t="str">
        <f>IF(COUNTA(B87:C87)=0,"",79)</f>
        <v/>
      </c>
      <c r="B87" s="8"/>
      <c r="C87" s="9"/>
      <c r="D87" s="10" t="str">
        <f t="shared" si="6"/>
        <v/>
      </c>
      <c r="E87" s="1"/>
      <c r="F87" s="11" t="str">
        <f t="shared" si="7"/>
        <v/>
      </c>
      <c r="G87" s="11" t="str">
        <f t="shared" si="8"/>
        <v/>
      </c>
      <c r="H87" s="11" t="str">
        <f t="shared" si="9"/>
        <v/>
      </c>
      <c r="I87" s="12" t="str">
        <f t="shared" si="10"/>
        <v/>
      </c>
      <c r="J87" s="13" t="str">
        <f t="shared" si="11"/>
        <v/>
      </c>
    </row>
    <row r="88" spans="1:10" ht="23.1" customHeight="1">
      <c r="A88" s="1" t="str">
        <f>IF(COUNTA(B88:C88)=0,"",80)</f>
        <v/>
      </c>
      <c r="B88" s="8"/>
      <c r="C88" s="9"/>
      <c r="D88" s="10" t="str">
        <f t="shared" si="6"/>
        <v/>
      </c>
      <c r="E88" s="1"/>
      <c r="F88" s="11" t="str">
        <f t="shared" si="7"/>
        <v/>
      </c>
      <c r="G88" s="11" t="str">
        <f t="shared" si="8"/>
        <v/>
      </c>
      <c r="H88" s="11" t="str">
        <f t="shared" si="9"/>
        <v/>
      </c>
      <c r="I88" s="12" t="str">
        <f t="shared" si="10"/>
        <v/>
      </c>
      <c r="J88" s="13" t="str">
        <f t="shared" si="11"/>
        <v/>
      </c>
    </row>
    <row r="89" spans="1:10" ht="23.1" customHeight="1">
      <c r="A89" s="1" t="str">
        <f>IF(COUNTA(B89:C89)=0,"",81)</f>
        <v/>
      </c>
      <c r="B89" s="8"/>
      <c r="C89" s="9"/>
      <c r="D89" s="10" t="str">
        <f t="shared" si="6"/>
        <v/>
      </c>
      <c r="E89" s="1"/>
      <c r="F89" s="11" t="str">
        <f t="shared" si="7"/>
        <v/>
      </c>
      <c r="G89" s="11" t="str">
        <f t="shared" si="8"/>
        <v/>
      </c>
      <c r="H89" s="11" t="str">
        <f t="shared" si="9"/>
        <v/>
      </c>
      <c r="I89" s="12" t="str">
        <f t="shared" si="10"/>
        <v/>
      </c>
      <c r="J89" s="13" t="str">
        <f t="shared" si="11"/>
        <v/>
      </c>
    </row>
    <row r="90" spans="1:10" ht="23.1" customHeight="1">
      <c r="A90" s="1" t="str">
        <f>IF(COUNTA(B90:C90)=0,"",82)</f>
        <v/>
      </c>
      <c r="B90" s="8"/>
      <c r="C90" s="9"/>
      <c r="D90" s="10" t="str">
        <f t="shared" si="6"/>
        <v/>
      </c>
      <c r="E90" s="1"/>
      <c r="F90" s="11" t="str">
        <f t="shared" si="7"/>
        <v/>
      </c>
      <c r="G90" s="11" t="str">
        <f t="shared" si="8"/>
        <v/>
      </c>
      <c r="H90" s="11" t="str">
        <f t="shared" si="9"/>
        <v/>
      </c>
      <c r="I90" s="12" t="str">
        <f t="shared" si="10"/>
        <v/>
      </c>
      <c r="J90" s="13" t="str">
        <f t="shared" si="11"/>
        <v/>
      </c>
    </row>
    <row r="91" spans="1:10" ht="23.1" customHeight="1">
      <c r="A91" s="1" t="str">
        <f>IF(COUNTA(B91:C91)=0,"",83)</f>
        <v/>
      </c>
      <c r="B91" s="8"/>
      <c r="C91" s="9"/>
      <c r="D91" s="10" t="str">
        <f t="shared" si="6"/>
        <v/>
      </c>
      <c r="E91" s="1"/>
      <c r="F91" s="11" t="str">
        <f t="shared" si="7"/>
        <v/>
      </c>
      <c r="G91" s="11" t="str">
        <f t="shared" si="8"/>
        <v/>
      </c>
      <c r="H91" s="11" t="str">
        <f t="shared" si="9"/>
        <v/>
      </c>
      <c r="I91" s="12" t="str">
        <f t="shared" si="10"/>
        <v/>
      </c>
      <c r="J91" s="13" t="str">
        <f t="shared" si="11"/>
        <v/>
      </c>
    </row>
    <row r="92" spans="1:10" ht="23.1" customHeight="1">
      <c r="A92" s="1" t="str">
        <f>IF(COUNTA(B92:C92)=0,"",84)</f>
        <v/>
      </c>
      <c r="B92" s="8"/>
      <c r="C92" s="9"/>
      <c r="D92" s="10" t="str">
        <f t="shared" si="6"/>
        <v/>
      </c>
      <c r="E92" s="1"/>
      <c r="F92" s="11" t="str">
        <f t="shared" si="7"/>
        <v/>
      </c>
      <c r="G92" s="11" t="str">
        <f t="shared" si="8"/>
        <v/>
      </c>
      <c r="H92" s="11" t="str">
        <f t="shared" si="9"/>
        <v/>
      </c>
      <c r="I92" s="12" t="str">
        <f t="shared" si="10"/>
        <v/>
      </c>
      <c r="J92" s="13" t="str">
        <f t="shared" si="11"/>
        <v/>
      </c>
    </row>
    <row r="93" spans="1:10" ht="23.1" customHeight="1">
      <c r="A93" s="1" t="str">
        <f>IF(COUNTA(B93:C93)=0,"",85)</f>
        <v/>
      </c>
      <c r="B93" s="8"/>
      <c r="C93" s="9"/>
      <c r="D93" s="10" t="str">
        <f t="shared" si="6"/>
        <v/>
      </c>
      <c r="E93" s="1"/>
      <c r="F93" s="11" t="str">
        <f t="shared" si="7"/>
        <v/>
      </c>
      <c r="G93" s="11" t="str">
        <f t="shared" si="8"/>
        <v/>
      </c>
      <c r="H93" s="11" t="str">
        <f t="shared" si="9"/>
        <v/>
      </c>
      <c r="I93" s="12" t="str">
        <f t="shared" si="10"/>
        <v/>
      </c>
      <c r="J93" s="13" t="str">
        <f t="shared" si="11"/>
        <v/>
      </c>
    </row>
    <row r="94" spans="1:10" ht="23.1" customHeight="1">
      <c r="A94" s="1" t="str">
        <f>IF(COUNTA(B94:C94)=0,"",86)</f>
        <v/>
      </c>
      <c r="B94" s="8"/>
      <c r="C94" s="9"/>
      <c r="D94" s="10" t="str">
        <f t="shared" si="6"/>
        <v/>
      </c>
      <c r="E94" s="1"/>
      <c r="F94" s="11" t="str">
        <f t="shared" si="7"/>
        <v/>
      </c>
      <c r="G94" s="11" t="str">
        <f t="shared" si="8"/>
        <v/>
      </c>
      <c r="H94" s="11" t="str">
        <f t="shared" si="9"/>
        <v/>
      </c>
      <c r="I94" s="12" t="str">
        <f t="shared" si="10"/>
        <v/>
      </c>
      <c r="J94" s="13" t="str">
        <f t="shared" si="11"/>
        <v/>
      </c>
    </row>
    <row r="95" spans="1:10" ht="23.1" customHeight="1">
      <c r="A95" s="1" t="str">
        <f>IF(COUNTA(B95:C95)=0,"",87)</f>
        <v/>
      </c>
      <c r="B95" s="8"/>
      <c r="C95" s="9"/>
      <c r="D95" s="10" t="str">
        <f t="shared" si="6"/>
        <v/>
      </c>
      <c r="E95" s="1"/>
      <c r="F95" s="11" t="str">
        <f t="shared" si="7"/>
        <v/>
      </c>
      <c r="G95" s="11" t="str">
        <f t="shared" si="8"/>
        <v/>
      </c>
      <c r="H95" s="11" t="str">
        <f t="shared" si="9"/>
        <v/>
      </c>
      <c r="I95" s="12" t="str">
        <f t="shared" si="10"/>
        <v/>
      </c>
      <c r="J95" s="13" t="str">
        <f t="shared" si="11"/>
        <v/>
      </c>
    </row>
    <row r="96" spans="1:10" ht="23.1" customHeight="1">
      <c r="A96" s="1" t="str">
        <f>IF(COUNTA(B96:C96)=0,"",88)</f>
        <v/>
      </c>
      <c r="B96" s="8"/>
      <c r="C96" s="9"/>
      <c r="D96" s="10" t="str">
        <f t="shared" si="6"/>
        <v/>
      </c>
      <c r="E96" s="1"/>
      <c r="F96" s="11" t="str">
        <f t="shared" si="7"/>
        <v/>
      </c>
      <c r="G96" s="11" t="str">
        <f t="shared" si="8"/>
        <v/>
      </c>
      <c r="H96" s="11" t="str">
        <f t="shared" si="9"/>
        <v/>
      </c>
      <c r="I96" s="12" t="str">
        <f t="shared" si="10"/>
        <v/>
      </c>
      <c r="J96" s="13" t="str">
        <f t="shared" si="11"/>
        <v/>
      </c>
    </row>
    <row r="97" spans="1:10" ht="23.1" customHeight="1">
      <c r="A97" s="1" t="str">
        <f>IF(COUNTA(B97:C97)=0,"",89)</f>
        <v/>
      </c>
      <c r="B97" s="8"/>
      <c r="C97" s="9"/>
      <c r="D97" s="10" t="str">
        <f t="shared" si="6"/>
        <v/>
      </c>
      <c r="E97" s="1"/>
      <c r="F97" s="11" t="str">
        <f t="shared" si="7"/>
        <v/>
      </c>
      <c r="G97" s="11" t="str">
        <f t="shared" si="8"/>
        <v/>
      </c>
      <c r="H97" s="11" t="str">
        <f t="shared" si="9"/>
        <v/>
      </c>
      <c r="I97" s="12" t="str">
        <f t="shared" si="10"/>
        <v/>
      </c>
      <c r="J97" s="13" t="str">
        <f t="shared" si="11"/>
        <v/>
      </c>
    </row>
    <row r="98" spans="1:10" ht="23.1" customHeight="1">
      <c r="A98" s="1" t="str">
        <f>IF(COUNTA(B98:C98)=0,"",90)</f>
        <v/>
      </c>
      <c r="B98" s="8"/>
      <c r="C98" s="9"/>
      <c r="D98" s="10" t="str">
        <f t="shared" si="6"/>
        <v/>
      </c>
      <c r="E98" s="1"/>
      <c r="F98" s="11" t="str">
        <f t="shared" si="7"/>
        <v/>
      </c>
      <c r="G98" s="11" t="str">
        <f t="shared" si="8"/>
        <v/>
      </c>
      <c r="H98" s="11" t="str">
        <f t="shared" si="9"/>
        <v/>
      </c>
      <c r="I98" s="12" t="str">
        <f t="shared" si="10"/>
        <v/>
      </c>
      <c r="J98" s="13" t="str">
        <f t="shared" si="11"/>
        <v/>
      </c>
    </row>
    <row r="99" spans="1:10" ht="23.1" customHeight="1">
      <c r="A99" s="1" t="str">
        <f>IF(COUNTA(B99:C99)=0,"",91)</f>
        <v/>
      </c>
      <c r="B99" s="8"/>
      <c r="C99" s="9"/>
      <c r="D99" s="10" t="str">
        <f t="shared" si="6"/>
        <v/>
      </c>
      <c r="E99" s="1"/>
      <c r="F99" s="11" t="str">
        <f t="shared" si="7"/>
        <v/>
      </c>
      <c r="G99" s="11" t="str">
        <f t="shared" si="8"/>
        <v/>
      </c>
      <c r="H99" s="11" t="str">
        <f t="shared" si="9"/>
        <v/>
      </c>
      <c r="I99" s="12" t="str">
        <f t="shared" si="10"/>
        <v/>
      </c>
      <c r="J99" s="13" t="str">
        <f t="shared" si="11"/>
        <v/>
      </c>
    </row>
    <row r="100" spans="1:10" ht="23.1" customHeight="1">
      <c r="A100" s="1" t="str">
        <f>IF(COUNTA(B100:C100)=0,"",92)</f>
        <v/>
      </c>
      <c r="B100" s="8"/>
      <c r="C100" s="9"/>
      <c r="D100" s="10" t="str">
        <f t="shared" si="6"/>
        <v/>
      </c>
      <c r="E100" s="1"/>
      <c r="F100" s="11" t="str">
        <f t="shared" si="7"/>
        <v/>
      </c>
      <c r="G100" s="11" t="str">
        <f t="shared" si="8"/>
        <v/>
      </c>
      <c r="H100" s="11" t="str">
        <f t="shared" si="9"/>
        <v/>
      </c>
      <c r="I100" s="12" t="str">
        <f t="shared" si="10"/>
        <v/>
      </c>
      <c r="J100" s="13" t="str">
        <f t="shared" si="11"/>
        <v/>
      </c>
    </row>
    <row r="101" spans="1:10" ht="23.1" customHeight="1">
      <c r="A101" s="1" t="str">
        <f>IF(COUNTA(B101:C101)=0,"",93)</f>
        <v/>
      </c>
      <c r="B101" s="8"/>
      <c r="C101" s="9"/>
      <c r="D101" s="10" t="str">
        <f t="shared" si="6"/>
        <v/>
      </c>
      <c r="E101" s="1"/>
      <c r="F101" s="11" t="str">
        <f t="shared" si="7"/>
        <v/>
      </c>
      <c r="G101" s="11" t="str">
        <f t="shared" si="8"/>
        <v/>
      </c>
      <c r="H101" s="11" t="str">
        <f t="shared" si="9"/>
        <v/>
      </c>
      <c r="I101" s="12" t="str">
        <f t="shared" si="10"/>
        <v/>
      </c>
      <c r="J101" s="13" t="str">
        <f t="shared" si="11"/>
        <v/>
      </c>
    </row>
    <row r="102" spans="1:10" ht="23.1" customHeight="1">
      <c r="A102" s="1" t="str">
        <f>IF(COUNTA(B102:C102)=0,"",94)</f>
        <v/>
      </c>
      <c r="B102" s="8"/>
      <c r="C102" s="9"/>
      <c r="D102" s="10" t="str">
        <f t="shared" si="6"/>
        <v/>
      </c>
      <c r="E102" s="1"/>
      <c r="F102" s="11" t="str">
        <f t="shared" si="7"/>
        <v/>
      </c>
      <c r="G102" s="11" t="str">
        <f t="shared" si="8"/>
        <v/>
      </c>
      <c r="H102" s="11" t="str">
        <f t="shared" si="9"/>
        <v/>
      </c>
      <c r="I102" s="12" t="str">
        <f t="shared" si="10"/>
        <v/>
      </c>
      <c r="J102" s="13" t="str">
        <f t="shared" si="11"/>
        <v/>
      </c>
    </row>
    <row r="103" spans="1:10" ht="23.1" customHeight="1">
      <c r="A103" s="1" t="str">
        <f>IF(COUNTA(B103:C103)=0,"",95)</f>
        <v/>
      </c>
      <c r="B103" s="8"/>
      <c r="C103" s="9"/>
      <c r="D103" s="10" t="str">
        <f t="shared" si="6"/>
        <v/>
      </c>
      <c r="E103" s="1"/>
      <c r="F103" s="11" t="str">
        <f t="shared" si="7"/>
        <v/>
      </c>
      <c r="G103" s="11" t="str">
        <f t="shared" si="8"/>
        <v/>
      </c>
      <c r="H103" s="11" t="str">
        <f t="shared" si="9"/>
        <v/>
      </c>
      <c r="I103" s="12" t="str">
        <f t="shared" si="10"/>
        <v/>
      </c>
      <c r="J103" s="13" t="str">
        <f t="shared" si="11"/>
        <v/>
      </c>
    </row>
    <row r="104" spans="1:10" ht="23.1" customHeight="1">
      <c r="A104" s="1" t="str">
        <f>IF(COUNTA(B104:C104)=0,"",96)</f>
        <v/>
      </c>
      <c r="B104" s="8"/>
      <c r="C104" s="9"/>
      <c r="D104" s="10" t="str">
        <f t="shared" si="6"/>
        <v/>
      </c>
      <c r="E104" s="1"/>
      <c r="F104" s="11" t="str">
        <f t="shared" si="7"/>
        <v/>
      </c>
      <c r="G104" s="11" t="str">
        <f t="shared" si="8"/>
        <v/>
      </c>
      <c r="H104" s="11" t="str">
        <f t="shared" si="9"/>
        <v/>
      </c>
      <c r="I104" s="12" t="str">
        <f t="shared" si="10"/>
        <v/>
      </c>
      <c r="J104" s="13" t="str">
        <f t="shared" si="11"/>
        <v/>
      </c>
    </row>
    <row r="105" spans="1:10" ht="23.1" customHeight="1">
      <c r="A105" s="1" t="str">
        <f>IF(COUNTA(B105:C105)=0,"",97)</f>
        <v/>
      </c>
      <c r="B105" s="8"/>
      <c r="C105" s="9"/>
      <c r="D105" s="10" t="str">
        <f t="shared" si="6"/>
        <v/>
      </c>
      <c r="E105" s="1"/>
      <c r="F105" s="11" t="str">
        <f t="shared" si="7"/>
        <v/>
      </c>
      <c r="G105" s="11" t="str">
        <f t="shared" si="8"/>
        <v/>
      </c>
      <c r="H105" s="11" t="str">
        <f t="shared" si="9"/>
        <v/>
      </c>
      <c r="I105" s="12" t="str">
        <f t="shared" si="10"/>
        <v/>
      </c>
      <c r="J105" s="13" t="str">
        <f t="shared" si="11"/>
        <v/>
      </c>
    </row>
    <row r="106" spans="1:10" ht="23.1" customHeight="1">
      <c r="A106" s="1" t="str">
        <f>IF(COUNTA(B106:C106)=0,"",98)</f>
        <v/>
      </c>
      <c r="B106" s="8"/>
      <c r="C106" s="9"/>
      <c r="D106" s="10" t="str">
        <f t="shared" si="6"/>
        <v/>
      </c>
      <c r="E106" s="1"/>
      <c r="F106" s="11" t="str">
        <f t="shared" si="7"/>
        <v/>
      </c>
      <c r="G106" s="11" t="str">
        <f t="shared" si="8"/>
        <v/>
      </c>
      <c r="H106" s="11" t="str">
        <f t="shared" si="9"/>
        <v/>
      </c>
      <c r="I106" s="12" t="str">
        <f t="shared" si="10"/>
        <v/>
      </c>
      <c r="J106" s="13" t="str">
        <f t="shared" si="11"/>
        <v/>
      </c>
    </row>
    <row r="107" spans="1:10" ht="23.1" customHeight="1">
      <c r="A107" s="1" t="str">
        <f>IF(COUNTA(B107:C107)=0,"",99)</f>
        <v/>
      </c>
      <c r="B107" s="8"/>
      <c r="C107" s="9"/>
      <c r="D107" s="10" t="str">
        <f t="shared" si="6"/>
        <v/>
      </c>
      <c r="E107" s="1"/>
      <c r="F107" s="11" t="str">
        <f t="shared" si="7"/>
        <v/>
      </c>
      <c r="G107" s="11" t="str">
        <f t="shared" si="8"/>
        <v/>
      </c>
      <c r="H107" s="11" t="str">
        <f t="shared" si="9"/>
        <v/>
      </c>
      <c r="I107" s="12" t="str">
        <f t="shared" si="10"/>
        <v/>
      </c>
      <c r="J107" s="13" t="str">
        <f t="shared" si="11"/>
        <v/>
      </c>
    </row>
    <row r="108" spans="1:10" ht="23.1" customHeight="1">
      <c r="A108" s="1" t="str">
        <f>IF(COUNTA(B108:C108)=0,"",100)</f>
        <v/>
      </c>
      <c r="B108" s="8"/>
      <c r="C108" s="9"/>
      <c r="D108" s="10" t="str">
        <f t="shared" si="6"/>
        <v/>
      </c>
      <c r="E108" s="1"/>
      <c r="F108" s="11" t="str">
        <f t="shared" si="7"/>
        <v/>
      </c>
      <c r="G108" s="11" t="str">
        <f t="shared" si="8"/>
        <v/>
      </c>
      <c r="H108" s="11" t="str">
        <f t="shared" si="9"/>
        <v/>
      </c>
      <c r="I108" s="12" t="str">
        <f t="shared" si="10"/>
        <v/>
      </c>
      <c r="J108" s="13" t="str">
        <f t="shared" si="11"/>
        <v/>
      </c>
    </row>
    <row r="109" spans="1:10" ht="23.1" customHeight="1">
      <c r="A109" s="1" t="str">
        <f>IF(COUNTA(B109:C109)=0,"",101)</f>
        <v/>
      </c>
      <c r="B109" s="8"/>
      <c r="C109" s="9"/>
      <c r="D109" s="10" t="str">
        <f t="shared" si="6"/>
        <v/>
      </c>
      <c r="E109" s="1"/>
      <c r="F109" s="11" t="str">
        <f t="shared" si="7"/>
        <v/>
      </c>
      <c r="G109" s="11" t="str">
        <f t="shared" si="8"/>
        <v/>
      </c>
      <c r="H109" s="11" t="str">
        <f t="shared" si="9"/>
        <v/>
      </c>
      <c r="I109" s="12" t="str">
        <f t="shared" si="10"/>
        <v/>
      </c>
      <c r="J109" s="13" t="str">
        <f t="shared" si="11"/>
        <v/>
      </c>
    </row>
    <row r="110" spans="1:10" ht="23.1" customHeight="1">
      <c r="A110" s="1" t="str">
        <f>IF(COUNTA(B110:C110)=0,"",102)</f>
        <v/>
      </c>
      <c r="B110" s="8"/>
      <c r="C110" s="9"/>
      <c r="D110" s="10" t="str">
        <f t="shared" si="6"/>
        <v/>
      </c>
      <c r="E110" s="1"/>
      <c r="F110" s="11" t="str">
        <f t="shared" si="7"/>
        <v/>
      </c>
      <c r="G110" s="11" t="str">
        <f t="shared" si="8"/>
        <v/>
      </c>
      <c r="H110" s="11" t="str">
        <f t="shared" si="9"/>
        <v/>
      </c>
      <c r="I110" s="12" t="str">
        <f t="shared" si="10"/>
        <v/>
      </c>
      <c r="J110" s="13" t="str">
        <f t="shared" si="11"/>
        <v/>
      </c>
    </row>
    <row r="111" spans="1:10" ht="23.1" customHeight="1">
      <c r="A111" s="1" t="str">
        <f>IF(COUNTA(B111:C111)=0,"",103)</f>
        <v/>
      </c>
      <c r="B111" s="8"/>
      <c r="C111" s="9"/>
      <c r="D111" s="10" t="str">
        <f t="shared" si="6"/>
        <v/>
      </c>
      <c r="E111" s="1"/>
      <c r="F111" s="11" t="str">
        <f t="shared" si="7"/>
        <v/>
      </c>
      <c r="G111" s="11" t="str">
        <f t="shared" si="8"/>
        <v/>
      </c>
      <c r="H111" s="11" t="str">
        <f t="shared" si="9"/>
        <v/>
      </c>
      <c r="I111" s="12" t="str">
        <f t="shared" si="10"/>
        <v/>
      </c>
      <c r="J111" s="13" t="str">
        <f t="shared" si="11"/>
        <v/>
      </c>
    </row>
    <row r="112" spans="1:10" ht="23.1" customHeight="1">
      <c r="A112" s="1" t="str">
        <f>IF(COUNTA(B112:C112)=0,"",104)</f>
        <v/>
      </c>
      <c r="B112" s="8"/>
      <c r="C112" s="9"/>
      <c r="D112" s="10" t="str">
        <f t="shared" si="6"/>
        <v/>
      </c>
      <c r="E112" s="1"/>
      <c r="F112" s="11" t="str">
        <f t="shared" si="7"/>
        <v/>
      </c>
      <c r="G112" s="11" t="str">
        <f t="shared" si="8"/>
        <v/>
      </c>
      <c r="H112" s="11" t="str">
        <f t="shared" si="9"/>
        <v/>
      </c>
      <c r="I112" s="12" t="str">
        <f t="shared" si="10"/>
        <v/>
      </c>
      <c r="J112" s="13" t="str">
        <f t="shared" si="11"/>
        <v/>
      </c>
    </row>
    <row r="113" spans="1:10" ht="23.1" customHeight="1">
      <c r="A113" s="1" t="str">
        <f>IF(COUNTA(B113:C113)=0,"",105)</f>
        <v/>
      </c>
      <c r="B113" s="8"/>
      <c r="C113" s="9"/>
      <c r="D113" s="10" t="str">
        <f t="shared" si="6"/>
        <v/>
      </c>
      <c r="E113" s="1"/>
      <c r="F113" s="11" t="str">
        <f t="shared" si="7"/>
        <v/>
      </c>
      <c r="G113" s="11" t="str">
        <f t="shared" si="8"/>
        <v/>
      </c>
      <c r="H113" s="11" t="str">
        <f t="shared" si="9"/>
        <v/>
      </c>
      <c r="I113" s="12" t="str">
        <f t="shared" si="10"/>
        <v/>
      </c>
      <c r="J113" s="13" t="str">
        <f t="shared" si="11"/>
        <v/>
      </c>
    </row>
    <row r="114" spans="1:10" ht="23.1" customHeight="1">
      <c r="A114" s="1" t="str">
        <f>IF(COUNTA(B114:C114)=0,"",106)</f>
        <v/>
      </c>
      <c r="B114" s="8"/>
      <c r="C114" s="9"/>
      <c r="D114" s="10" t="str">
        <f t="shared" si="6"/>
        <v/>
      </c>
      <c r="E114" s="1"/>
      <c r="F114" s="11" t="str">
        <f t="shared" si="7"/>
        <v/>
      </c>
      <c r="G114" s="11" t="str">
        <f t="shared" si="8"/>
        <v/>
      </c>
      <c r="H114" s="11" t="str">
        <f t="shared" si="9"/>
        <v/>
      </c>
      <c r="I114" s="12" t="str">
        <f t="shared" si="10"/>
        <v/>
      </c>
      <c r="J114" s="13" t="str">
        <f t="shared" si="11"/>
        <v/>
      </c>
    </row>
    <row r="115" spans="1:10" ht="23.1" customHeight="1">
      <c r="A115" s="1" t="str">
        <f>IF(COUNTA(B115:C115)=0,"",107)</f>
        <v/>
      </c>
      <c r="B115" s="8"/>
      <c r="C115" s="9"/>
      <c r="D115" s="10" t="str">
        <f t="shared" si="6"/>
        <v/>
      </c>
      <c r="E115" s="1"/>
      <c r="F115" s="11" t="str">
        <f t="shared" si="7"/>
        <v/>
      </c>
      <c r="G115" s="11" t="str">
        <f t="shared" si="8"/>
        <v/>
      </c>
      <c r="H115" s="11" t="str">
        <f t="shared" si="9"/>
        <v/>
      </c>
      <c r="I115" s="12" t="str">
        <f t="shared" si="10"/>
        <v/>
      </c>
      <c r="J115" s="13" t="str">
        <f t="shared" si="11"/>
        <v/>
      </c>
    </row>
    <row r="116" spans="1:10" ht="23.1" customHeight="1">
      <c r="A116" s="1" t="str">
        <f>IF(COUNTA(B116:C116)=0,"",108)</f>
        <v/>
      </c>
      <c r="B116" s="8"/>
      <c r="C116" s="9"/>
      <c r="D116" s="10" t="str">
        <f t="shared" si="6"/>
        <v/>
      </c>
      <c r="E116" s="1"/>
      <c r="F116" s="11" t="str">
        <f t="shared" si="7"/>
        <v/>
      </c>
      <c r="G116" s="11" t="str">
        <f t="shared" si="8"/>
        <v/>
      </c>
      <c r="H116" s="11" t="str">
        <f t="shared" si="9"/>
        <v/>
      </c>
      <c r="I116" s="12" t="str">
        <f t="shared" si="10"/>
        <v/>
      </c>
      <c r="J116" s="13" t="str">
        <f t="shared" si="11"/>
        <v/>
      </c>
    </row>
    <row r="117" spans="1:10" ht="23.1" customHeight="1">
      <c r="A117" s="1" t="str">
        <f>IF(COUNTA(B117:C117)=0,"",109)</f>
        <v/>
      </c>
      <c r="B117" s="8"/>
      <c r="C117" s="9"/>
      <c r="D117" s="10" t="str">
        <f t="shared" si="6"/>
        <v/>
      </c>
      <c r="E117" s="1"/>
      <c r="F117" s="11" t="str">
        <f t="shared" si="7"/>
        <v/>
      </c>
      <c r="G117" s="11" t="str">
        <f t="shared" si="8"/>
        <v/>
      </c>
      <c r="H117" s="11" t="str">
        <f t="shared" si="9"/>
        <v/>
      </c>
      <c r="I117" s="12" t="str">
        <f t="shared" si="10"/>
        <v/>
      </c>
      <c r="J117" s="13" t="str">
        <f t="shared" si="11"/>
        <v/>
      </c>
    </row>
    <row r="118" spans="1:10" ht="23.1" customHeight="1">
      <c r="A118" s="1" t="str">
        <f>IF(COUNTA(B118:C118)=0,"",110)</f>
        <v/>
      </c>
      <c r="B118" s="8"/>
      <c r="C118" s="9"/>
      <c r="D118" s="10" t="str">
        <f t="shared" si="6"/>
        <v/>
      </c>
      <c r="E118" s="1"/>
      <c r="F118" s="11" t="str">
        <f t="shared" si="7"/>
        <v/>
      </c>
      <c r="G118" s="11" t="str">
        <f t="shared" si="8"/>
        <v/>
      </c>
      <c r="H118" s="11" t="str">
        <f t="shared" si="9"/>
        <v/>
      </c>
      <c r="I118" s="12" t="str">
        <f t="shared" si="10"/>
        <v/>
      </c>
      <c r="J118" s="13" t="str">
        <f t="shared" si="11"/>
        <v/>
      </c>
    </row>
    <row r="119" spans="1:10" ht="23.1" customHeight="1">
      <c r="A119" s="1" t="str">
        <f>IF(COUNTA(B119:C119)=0,"",111)</f>
        <v/>
      </c>
      <c r="B119" s="8"/>
      <c r="C119" s="9"/>
      <c r="D119" s="10" t="str">
        <f t="shared" si="6"/>
        <v/>
      </c>
      <c r="E119" s="1"/>
      <c r="F119" s="11" t="str">
        <f t="shared" si="7"/>
        <v/>
      </c>
      <c r="G119" s="11" t="str">
        <f t="shared" si="8"/>
        <v/>
      </c>
      <c r="H119" s="11" t="str">
        <f t="shared" si="9"/>
        <v/>
      </c>
      <c r="I119" s="12" t="str">
        <f t="shared" si="10"/>
        <v/>
      </c>
      <c r="J119" s="13" t="str">
        <f t="shared" si="11"/>
        <v/>
      </c>
    </row>
    <row r="120" spans="1:10" ht="23.1" customHeight="1">
      <c r="A120" s="1" t="str">
        <f>IF(COUNTA(B120:C120)=0,"",112)</f>
        <v/>
      </c>
      <c r="B120" s="8"/>
      <c r="C120" s="9"/>
      <c r="D120" s="10" t="str">
        <f t="shared" si="6"/>
        <v/>
      </c>
      <c r="E120" s="1"/>
      <c r="F120" s="11" t="str">
        <f t="shared" si="7"/>
        <v/>
      </c>
      <c r="G120" s="11" t="str">
        <f t="shared" si="8"/>
        <v/>
      </c>
      <c r="H120" s="11" t="str">
        <f t="shared" si="9"/>
        <v/>
      </c>
      <c r="I120" s="12" t="str">
        <f t="shared" si="10"/>
        <v/>
      </c>
      <c r="J120" s="13" t="str">
        <f t="shared" si="11"/>
        <v/>
      </c>
    </row>
    <row r="121" spans="1:10" ht="23.1" customHeight="1">
      <c r="A121" s="1" t="str">
        <f>IF(COUNTA(B121:C121)=0,"",113)</f>
        <v/>
      </c>
      <c r="B121" s="8"/>
      <c r="C121" s="9"/>
      <c r="D121" s="10" t="str">
        <f t="shared" si="6"/>
        <v/>
      </c>
      <c r="E121" s="1"/>
      <c r="F121" s="11" t="str">
        <f t="shared" si="7"/>
        <v/>
      </c>
      <c r="G121" s="11" t="str">
        <f t="shared" si="8"/>
        <v/>
      </c>
      <c r="H121" s="11" t="str">
        <f t="shared" si="9"/>
        <v/>
      </c>
      <c r="I121" s="12" t="str">
        <f t="shared" si="10"/>
        <v/>
      </c>
      <c r="J121" s="13" t="str">
        <f t="shared" si="11"/>
        <v/>
      </c>
    </row>
    <row r="122" spans="1:10" ht="23.1" customHeight="1">
      <c r="A122" s="1" t="str">
        <f>IF(COUNTA(B122:C122)=0,"",114)</f>
        <v/>
      </c>
      <c r="B122" s="8"/>
      <c r="C122" s="9"/>
      <c r="D122" s="10" t="str">
        <f t="shared" si="6"/>
        <v/>
      </c>
      <c r="E122" s="1"/>
      <c r="F122" s="11" t="str">
        <f t="shared" si="7"/>
        <v/>
      </c>
      <c r="G122" s="11" t="str">
        <f t="shared" si="8"/>
        <v/>
      </c>
      <c r="H122" s="11" t="str">
        <f t="shared" si="9"/>
        <v/>
      </c>
      <c r="I122" s="12" t="str">
        <f t="shared" si="10"/>
        <v/>
      </c>
      <c r="J122" s="13" t="str">
        <f t="shared" si="11"/>
        <v/>
      </c>
    </row>
    <row r="123" spans="1:10" ht="23.1" customHeight="1">
      <c r="A123" s="1" t="str">
        <f>IF(COUNTA(B123:C123)=0,"",115)</f>
        <v/>
      </c>
      <c r="B123" s="8"/>
      <c r="C123" s="9"/>
      <c r="D123" s="10" t="str">
        <f t="shared" si="6"/>
        <v/>
      </c>
      <c r="E123" s="1"/>
      <c r="F123" s="11" t="str">
        <f t="shared" si="7"/>
        <v/>
      </c>
      <c r="G123" s="11" t="str">
        <f t="shared" si="8"/>
        <v/>
      </c>
      <c r="H123" s="11" t="str">
        <f t="shared" si="9"/>
        <v/>
      </c>
      <c r="I123" s="12" t="str">
        <f t="shared" si="10"/>
        <v/>
      </c>
      <c r="J123" s="13" t="str">
        <f t="shared" si="11"/>
        <v/>
      </c>
    </row>
    <row r="124" spans="1:10" ht="23.1" customHeight="1">
      <c r="A124" s="1" t="str">
        <f>IF(COUNTA(B124:C124)=0,"",116)</f>
        <v/>
      </c>
      <c r="B124" s="8"/>
      <c r="C124" s="9"/>
      <c r="D124" s="10" t="str">
        <f t="shared" si="6"/>
        <v/>
      </c>
      <c r="E124" s="1"/>
      <c r="F124" s="11" t="str">
        <f t="shared" si="7"/>
        <v/>
      </c>
      <c r="G124" s="11" t="str">
        <f t="shared" si="8"/>
        <v/>
      </c>
      <c r="H124" s="11" t="str">
        <f t="shared" si="9"/>
        <v/>
      </c>
      <c r="I124" s="12" t="str">
        <f t="shared" si="10"/>
        <v/>
      </c>
      <c r="J124" s="13" t="str">
        <f t="shared" si="11"/>
        <v/>
      </c>
    </row>
    <row r="125" spans="1:10" ht="23.1" customHeight="1">
      <c r="A125" s="1" t="str">
        <f>IF(COUNTA(B125:C125)=0,"",117)</f>
        <v/>
      </c>
      <c r="B125" s="8"/>
      <c r="C125" s="9"/>
      <c r="D125" s="10" t="str">
        <f t="shared" si="6"/>
        <v/>
      </c>
      <c r="E125" s="1"/>
      <c r="F125" s="11" t="str">
        <f t="shared" si="7"/>
        <v/>
      </c>
      <c r="G125" s="11" t="str">
        <f t="shared" si="8"/>
        <v/>
      </c>
      <c r="H125" s="11" t="str">
        <f t="shared" si="9"/>
        <v/>
      </c>
      <c r="I125" s="12" t="str">
        <f t="shared" si="10"/>
        <v/>
      </c>
      <c r="J125" s="13" t="str">
        <f t="shared" si="11"/>
        <v/>
      </c>
    </row>
    <row r="126" spans="1:10" ht="23.1" customHeight="1">
      <c r="A126" s="1" t="str">
        <f>IF(COUNTA(B126:C126)=0,"",118)</f>
        <v/>
      </c>
      <c r="B126" s="8"/>
      <c r="C126" s="9"/>
      <c r="D126" s="10" t="str">
        <f t="shared" si="6"/>
        <v/>
      </c>
      <c r="E126" s="1"/>
      <c r="F126" s="11" t="str">
        <f t="shared" si="7"/>
        <v/>
      </c>
      <c r="G126" s="11" t="str">
        <f t="shared" si="8"/>
        <v/>
      </c>
      <c r="H126" s="11" t="str">
        <f t="shared" si="9"/>
        <v/>
      </c>
      <c r="I126" s="12" t="str">
        <f t="shared" si="10"/>
        <v/>
      </c>
      <c r="J126" s="13" t="str">
        <f t="shared" si="11"/>
        <v/>
      </c>
    </row>
    <row r="127" spans="1:10" ht="23.1" customHeight="1">
      <c r="A127" s="1" t="str">
        <f>IF(COUNTA(B127:C127)=0,"",119)</f>
        <v/>
      </c>
      <c r="B127" s="8"/>
      <c r="C127" s="9"/>
      <c r="D127" s="10" t="str">
        <f t="shared" si="6"/>
        <v/>
      </c>
      <c r="E127" s="1"/>
      <c r="F127" s="11" t="str">
        <f t="shared" si="7"/>
        <v/>
      </c>
      <c r="G127" s="11" t="str">
        <f t="shared" si="8"/>
        <v/>
      </c>
      <c r="H127" s="11" t="str">
        <f t="shared" si="9"/>
        <v/>
      </c>
      <c r="I127" s="12" t="str">
        <f t="shared" si="10"/>
        <v/>
      </c>
      <c r="J127" s="13" t="str">
        <f t="shared" si="11"/>
        <v/>
      </c>
    </row>
    <row r="128" spans="1:10" ht="23.1" customHeight="1">
      <c r="A128" s="1" t="str">
        <f>IF(COUNTA(B128:C128)=0,"",120)</f>
        <v/>
      </c>
      <c r="B128" s="8"/>
      <c r="C128" s="9"/>
      <c r="D128" s="10" t="str">
        <f t="shared" si="6"/>
        <v/>
      </c>
      <c r="E128" s="1"/>
      <c r="F128" s="11" t="str">
        <f t="shared" si="7"/>
        <v/>
      </c>
      <c r="G128" s="11" t="str">
        <f t="shared" si="8"/>
        <v/>
      </c>
      <c r="H128" s="11" t="str">
        <f t="shared" si="9"/>
        <v/>
      </c>
      <c r="I128" s="12" t="str">
        <f t="shared" si="10"/>
        <v/>
      </c>
      <c r="J128" s="13" t="str">
        <f t="shared" si="11"/>
        <v/>
      </c>
    </row>
    <row r="129" spans="1:10" ht="23.1" customHeight="1">
      <c r="A129" s="1" t="str">
        <f>IF(COUNTA(B129:C129)=0,"",121)</f>
        <v/>
      </c>
      <c r="B129" s="8"/>
      <c r="C129" s="9"/>
      <c r="D129" s="10" t="str">
        <f t="shared" si="6"/>
        <v/>
      </c>
      <c r="E129" s="1"/>
      <c r="F129" s="11" t="str">
        <f t="shared" si="7"/>
        <v/>
      </c>
      <c r="G129" s="11" t="str">
        <f t="shared" si="8"/>
        <v/>
      </c>
      <c r="H129" s="11" t="str">
        <f t="shared" si="9"/>
        <v/>
      </c>
      <c r="I129" s="12" t="str">
        <f t="shared" si="10"/>
        <v/>
      </c>
      <c r="J129" s="13" t="str">
        <f t="shared" si="11"/>
        <v/>
      </c>
    </row>
    <row r="130" spans="1:10" ht="23.1" customHeight="1">
      <c r="A130" s="1" t="str">
        <f>IF(COUNTA(B130:C130)=0,"",122)</f>
        <v/>
      </c>
      <c r="B130" s="8"/>
      <c r="C130" s="9"/>
      <c r="D130" s="10" t="str">
        <f t="shared" si="6"/>
        <v/>
      </c>
      <c r="E130" s="1"/>
      <c r="F130" s="11" t="str">
        <f t="shared" si="7"/>
        <v/>
      </c>
      <c r="G130" s="11" t="str">
        <f t="shared" si="8"/>
        <v/>
      </c>
      <c r="H130" s="11" t="str">
        <f t="shared" si="9"/>
        <v/>
      </c>
      <c r="I130" s="12" t="str">
        <f t="shared" si="10"/>
        <v/>
      </c>
      <c r="J130" s="13" t="str">
        <f t="shared" si="11"/>
        <v/>
      </c>
    </row>
    <row r="131" spans="1:10" ht="23.1" customHeight="1">
      <c r="A131" s="1" t="str">
        <f>IF(COUNTA(B131:C131)=0,"",123)</f>
        <v/>
      </c>
      <c r="B131" s="8"/>
      <c r="C131" s="9"/>
      <c r="D131" s="10" t="str">
        <f t="shared" si="6"/>
        <v/>
      </c>
      <c r="E131" s="1"/>
      <c r="F131" s="11" t="str">
        <f t="shared" si="7"/>
        <v/>
      </c>
      <c r="G131" s="11" t="str">
        <f t="shared" si="8"/>
        <v/>
      </c>
      <c r="H131" s="11" t="str">
        <f t="shared" si="9"/>
        <v/>
      </c>
      <c r="I131" s="12" t="str">
        <f t="shared" si="10"/>
        <v/>
      </c>
      <c r="J131" s="13" t="str">
        <f t="shared" si="11"/>
        <v/>
      </c>
    </row>
    <row r="132" spans="1:10" ht="23.1" customHeight="1">
      <c r="A132" s="1" t="str">
        <f>IF(COUNTA(B132:C132)=0,"",124)</f>
        <v/>
      </c>
      <c r="B132" s="8"/>
      <c r="C132" s="9"/>
      <c r="D132" s="10" t="str">
        <f t="shared" si="6"/>
        <v/>
      </c>
      <c r="E132" s="1"/>
      <c r="F132" s="11" t="str">
        <f t="shared" si="7"/>
        <v/>
      </c>
      <c r="G132" s="11" t="str">
        <f t="shared" si="8"/>
        <v/>
      </c>
      <c r="H132" s="11" t="str">
        <f t="shared" si="9"/>
        <v/>
      </c>
      <c r="I132" s="12" t="str">
        <f t="shared" si="10"/>
        <v/>
      </c>
      <c r="J132" s="13" t="str">
        <f t="shared" si="11"/>
        <v/>
      </c>
    </row>
    <row r="133" spans="1:10" ht="23.1" customHeight="1">
      <c r="A133" s="1" t="str">
        <f>IF(COUNTA(B133:C133)=0,"",125)</f>
        <v/>
      </c>
      <c r="B133" s="8"/>
      <c r="C133" s="9"/>
      <c r="D133" s="10" t="str">
        <f t="shared" si="6"/>
        <v/>
      </c>
      <c r="E133" s="1"/>
      <c r="F133" s="11" t="str">
        <f t="shared" si="7"/>
        <v/>
      </c>
      <c r="G133" s="11" t="str">
        <f t="shared" si="8"/>
        <v/>
      </c>
      <c r="H133" s="11" t="str">
        <f t="shared" si="9"/>
        <v/>
      </c>
      <c r="I133" s="12" t="str">
        <f t="shared" si="10"/>
        <v/>
      </c>
      <c r="J133" s="13" t="str">
        <f t="shared" si="11"/>
        <v/>
      </c>
    </row>
    <row r="134" spans="1:10" ht="23.1" customHeight="1">
      <c r="A134" s="1" t="str">
        <f>IF(COUNTA(B134:C134)=0,"",126)</f>
        <v/>
      </c>
      <c r="B134" s="8"/>
      <c r="C134" s="9"/>
      <c r="D134" s="10" t="str">
        <f t="shared" si="6"/>
        <v/>
      </c>
      <c r="E134" s="1"/>
      <c r="F134" s="11" t="str">
        <f t="shared" si="7"/>
        <v/>
      </c>
      <c r="G134" s="11" t="str">
        <f t="shared" si="8"/>
        <v/>
      </c>
      <c r="H134" s="11" t="str">
        <f t="shared" si="9"/>
        <v/>
      </c>
      <c r="I134" s="12" t="str">
        <f t="shared" si="10"/>
        <v/>
      </c>
      <c r="J134" s="13" t="str">
        <f t="shared" si="11"/>
        <v/>
      </c>
    </row>
    <row r="135" spans="1:10" ht="23.1" customHeight="1">
      <c r="A135" s="1" t="str">
        <f>IF(COUNTA(B135:C135)=0,"",127)</f>
        <v/>
      </c>
      <c r="B135" s="8"/>
      <c r="C135" s="9"/>
      <c r="D135" s="10" t="str">
        <f t="shared" si="6"/>
        <v/>
      </c>
      <c r="E135" s="1"/>
      <c r="F135" s="11" t="str">
        <f t="shared" si="7"/>
        <v/>
      </c>
      <c r="G135" s="11" t="str">
        <f t="shared" si="8"/>
        <v/>
      </c>
      <c r="H135" s="11" t="str">
        <f t="shared" si="9"/>
        <v/>
      </c>
      <c r="I135" s="12" t="str">
        <f t="shared" si="10"/>
        <v/>
      </c>
      <c r="J135" s="13" t="str">
        <f t="shared" si="11"/>
        <v/>
      </c>
    </row>
    <row r="136" spans="1:10" ht="23.1" customHeight="1">
      <c r="A136" s="1" t="str">
        <f>IF(COUNTA(B136:C136)=0,"",128)</f>
        <v/>
      </c>
      <c r="B136" s="8"/>
      <c r="C136" s="9"/>
      <c r="D136" s="10" t="str">
        <f t="shared" si="6"/>
        <v/>
      </c>
      <c r="E136" s="1"/>
      <c r="F136" s="11" t="str">
        <f t="shared" si="7"/>
        <v/>
      </c>
      <c r="G136" s="11" t="str">
        <f t="shared" si="8"/>
        <v/>
      </c>
      <c r="H136" s="11" t="str">
        <f t="shared" si="9"/>
        <v/>
      </c>
      <c r="I136" s="12" t="str">
        <f t="shared" si="10"/>
        <v/>
      </c>
      <c r="J136" s="13" t="str">
        <f t="shared" si="11"/>
        <v/>
      </c>
    </row>
    <row r="137" spans="1:10" ht="23.1" customHeight="1">
      <c r="A137" s="1" t="str">
        <f>IF(COUNTA(B137:C137)=0,"",129)</f>
        <v/>
      </c>
      <c r="B137" s="8"/>
      <c r="C137" s="9"/>
      <c r="D137" s="10" t="str">
        <f t="shared" ref="D137:D200" si="12">IF(NOT(ISNUMBER(C137)),"",ROUND(C137*30%,2))</f>
        <v/>
      </c>
      <c r="E137" s="1"/>
      <c r="F137" s="11" t="str">
        <f t="shared" ref="F137:F200" si="13">IF(NOT(ISNUMBER(C137)),"",ROUND(H137*30%,2))</f>
        <v/>
      </c>
      <c r="G137" s="11" t="str">
        <f t="shared" ref="G137:G200" si="14">IF(NOT(ISNUMBER(C137)),"",ROUND(H137-F137,2))</f>
        <v/>
      </c>
      <c r="H137" s="11" t="str">
        <f t="shared" ref="H137:H200" si="15">IF(NOT(ISNUMBER(C137)),"",ROUND(C137-D137,2))</f>
        <v/>
      </c>
      <c r="I137" s="12" t="str">
        <f t="shared" ref="I137:I200" si="16">IF(NOT(ISNUMBER(C137)),"",ROUND(C137-SUM(D137,F137:G137),2))</f>
        <v/>
      </c>
      <c r="J137" s="13" t="str">
        <f t="shared" ref="J137:J200" si="17">IF(COUNTA(B137:C137)=0,"",IF(B137="","Falta apartamento",IF(NOT(ISNUMBER(C137)),"Falta valor","Completo")))</f>
        <v/>
      </c>
    </row>
    <row r="138" spans="1:10" ht="23.1" customHeight="1">
      <c r="A138" s="1" t="str">
        <f>IF(COUNTA(B138:C138)=0,"",130)</f>
        <v/>
      </c>
      <c r="B138" s="8"/>
      <c r="C138" s="9"/>
      <c r="D138" s="10" t="str">
        <f t="shared" si="12"/>
        <v/>
      </c>
      <c r="E138" s="1"/>
      <c r="F138" s="11" t="str">
        <f t="shared" si="13"/>
        <v/>
      </c>
      <c r="G138" s="11" t="str">
        <f t="shared" si="14"/>
        <v/>
      </c>
      <c r="H138" s="11" t="str">
        <f t="shared" si="15"/>
        <v/>
      </c>
      <c r="I138" s="12" t="str">
        <f t="shared" si="16"/>
        <v/>
      </c>
      <c r="J138" s="13" t="str">
        <f t="shared" si="17"/>
        <v/>
      </c>
    </row>
    <row r="139" spans="1:10" ht="23.1" customHeight="1">
      <c r="A139" s="1" t="str">
        <f>IF(COUNTA(B139:C139)=0,"",131)</f>
        <v/>
      </c>
      <c r="B139" s="8"/>
      <c r="C139" s="9"/>
      <c r="D139" s="10" t="str">
        <f t="shared" si="12"/>
        <v/>
      </c>
      <c r="E139" s="1"/>
      <c r="F139" s="11" t="str">
        <f t="shared" si="13"/>
        <v/>
      </c>
      <c r="G139" s="11" t="str">
        <f t="shared" si="14"/>
        <v/>
      </c>
      <c r="H139" s="11" t="str">
        <f t="shared" si="15"/>
        <v/>
      </c>
      <c r="I139" s="12" t="str">
        <f t="shared" si="16"/>
        <v/>
      </c>
      <c r="J139" s="13" t="str">
        <f t="shared" si="17"/>
        <v/>
      </c>
    </row>
    <row r="140" spans="1:10" ht="23.1" customHeight="1">
      <c r="A140" s="1" t="str">
        <f>IF(COUNTA(B140:C140)=0,"",132)</f>
        <v/>
      </c>
      <c r="B140" s="8"/>
      <c r="C140" s="9"/>
      <c r="D140" s="10" t="str">
        <f t="shared" si="12"/>
        <v/>
      </c>
      <c r="E140" s="1"/>
      <c r="F140" s="11" t="str">
        <f t="shared" si="13"/>
        <v/>
      </c>
      <c r="G140" s="11" t="str">
        <f t="shared" si="14"/>
        <v/>
      </c>
      <c r="H140" s="11" t="str">
        <f t="shared" si="15"/>
        <v/>
      </c>
      <c r="I140" s="12" t="str">
        <f t="shared" si="16"/>
        <v/>
      </c>
      <c r="J140" s="13" t="str">
        <f t="shared" si="17"/>
        <v/>
      </c>
    </row>
    <row r="141" spans="1:10" ht="23.1" customHeight="1">
      <c r="A141" s="1" t="str">
        <f>IF(COUNTA(B141:C141)=0,"",133)</f>
        <v/>
      </c>
      <c r="B141" s="8"/>
      <c r="C141" s="9"/>
      <c r="D141" s="10" t="str">
        <f t="shared" si="12"/>
        <v/>
      </c>
      <c r="E141" s="1"/>
      <c r="F141" s="11" t="str">
        <f t="shared" si="13"/>
        <v/>
      </c>
      <c r="G141" s="11" t="str">
        <f t="shared" si="14"/>
        <v/>
      </c>
      <c r="H141" s="11" t="str">
        <f t="shared" si="15"/>
        <v/>
      </c>
      <c r="I141" s="12" t="str">
        <f t="shared" si="16"/>
        <v/>
      </c>
      <c r="J141" s="13" t="str">
        <f t="shared" si="17"/>
        <v/>
      </c>
    </row>
    <row r="142" spans="1:10" ht="23.1" customHeight="1">
      <c r="A142" s="1" t="str">
        <f>IF(COUNTA(B142:C142)=0,"",134)</f>
        <v/>
      </c>
      <c r="B142" s="8"/>
      <c r="C142" s="9"/>
      <c r="D142" s="10" t="str">
        <f t="shared" si="12"/>
        <v/>
      </c>
      <c r="E142" s="1"/>
      <c r="F142" s="11" t="str">
        <f t="shared" si="13"/>
        <v/>
      </c>
      <c r="G142" s="11" t="str">
        <f t="shared" si="14"/>
        <v/>
      </c>
      <c r="H142" s="11" t="str">
        <f t="shared" si="15"/>
        <v/>
      </c>
      <c r="I142" s="12" t="str">
        <f t="shared" si="16"/>
        <v/>
      </c>
      <c r="J142" s="13" t="str">
        <f t="shared" si="17"/>
        <v/>
      </c>
    </row>
    <row r="143" spans="1:10" ht="23.1" customHeight="1">
      <c r="A143" s="1" t="str">
        <f>IF(COUNTA(B143:C143)=0,"",135)</f>
        <v/>
      </c>
      <c r="B143" s="8"/>
      <c r="C143" s="9"/>
      <c r="D143" s="10" t="str">
        <f t="shared" si="12"/>
        <v/>
      </c>
      <c r="E143" s="1"/>
      <c r="F143" s="11" t="str">
        <f t="shared" si="13"/>
        <v/>
      </c>
      <c r="G143" s="11" t="str">
        <f t="shared" si="14"/>
        <v/>
      </c>
      <c r="H143" s="11" t="str">
        <f t="shared" si="15"/>
        <v/>
      </c>
      <c r="I143" s="12" t="str">
        <f t="shared" si="16"/>
        <v/>
      </c>
      <c r="J143" s="13" t="str">
        <f t="shared" si="17"/>
        <v/>
      </c>
    </row>
    <row r="144" spans="1:10" ht="23.1" customHeight="1">
      <c r="A144" s="1" t="str">
        <f>IF(COUNTA(B144:C144)=0,"",136)</f>
        <v/>
      </c>
      <c r="B144" s="8"/>
      <c r="C144" s="9"/>
      <c r="D144" s="10" t="str">
        <f t="shared" si="12"/>
        <v/>
      </c>
      <c r="E144" s="1"/>
      <c r="F144" s="11" t="str">
        <f t="shared" si="13"/>
        <v/>
      </c>
      <c r="G144" s="11" t="str">
        <f t="shared" si="14"/>
        <v/>
      </c>
      <c r="H144" s="11" t="str">
        <f t="shared" si="15"/>
        <v/>
      </c>
      <c r="I144" s="12" t="str">
        <f t="shared" si="16"/>
        <v/>
      </c>
      <c r="J144" s="13" t="str">
        <f t="shared" si="17"/>
        <v/>
      </c>
    </row>
    <row r="145" spans="1:10" ht="23.1" customHeight="1">
      <c r="A145" s="1" t="str">
        <f>IF(COUNTA(B145:C145)=0,"",137)</f>
        <v/>
      </c>
      <c r="B145" s="8"/>
      <c r="C145" s="9"/>
      <c r="D145" s="10" t="str">
        <f t="shared" si="12"/>
        <v/>
      </c>
      <c r="E145" s="1"/>
      <c r="F145" s="11" t="str">
        <f t="shared" si="13"/>
        <v/>
      </c>
      <c r="G145" s="11" t="str">
        <f t="shared" si="14"/>
        <v/>
      </c>
      <c r="H145" s="11" t="str">
        <f t="shared" si="15"/>
        <v/>
      </c>
      <c r="I145" s="12" t="str">
        <f t="shared" si="16"/>
        <v/>
      </c>
      <c r="J145" s="13" t="str">
        <f t="shared" si="17"/>
        <v/>
      </c>
    </row>
    <row r="146" spans="1:10" ht="23.1" customHeight="1">
      <c r="A146" s="1" t="str">
        <f>IF(COUNTA(B146:C146)=0,"",138)</f>
        <v/>
      </c>
      <c r="B146" s="8"/>
      <c r="C146" s="9"/>
      <c r="D146" s="10" t="str">
        <f t="shared" si="12"/>
        <v/>
      </c>
      <c r="E146" s="1"/>
      <c r="F146" s="11" t="str">
        <f t="shared" si="13"/>
        <v/>
      </c>
      <c r="G146" s="11" t="str">
        <f t="shared" si="14"/>
        <v/>
      </c>
      <c r="H146" s="11" t="str">
        <f t="shared" si="15"/>
        <v/>
      </c>
      <c r="I146" s="12" t="str">
        <f t="shared" si="16"/>
        <v/>
      </c>
      <c r="J146" s="13" t="str">
        <f t="shared" si="17"/>
        <v/>
      </c>
    </row>
    <row r="147" spans="1:10" ht="23.1" customHeight="1">
      <c r="A147" s="1" t="str">
        <f>IF(COUNTA(B147:C147)=0,"",139)</f>
        <v/>
      </c>
      <c r="B147" s="8"/>
      <c r="C147" s="9"/>
      <c r="D147" s="10" t="str">
        <f t="shared" si="12"/>
        <v/>
      </c>
      <c r="E147" s="1"/>
      <c r="F147" s="11" t="str">
        <f t="shared" si="13"/>
        <v/>
      </c>
      <c r="G147" s="11" t="str">
        <f t="shared" si="14"/>
        <v/>
      </c>
      <c r="H147" s="11" t="str">
        <f t="shared" si="15"/>
        <v/>
      </c>
      <c r="I147" s="12" t="str">
        <f t="shared" si="16"/>
        <v/>
      </c>
      <c r="J147" s="13" t="str">
        <f t="shared" si="17"/>
        <v/>
      </c>
    </row>
    <row r="148" spans="1:10" ht="23.1" customHeight="1">
      <c r="A148" s="1" t="str">
        <f>IF(COUNTA(B148:C148)=0,"",140)</f>
        <v/>
      </c>
      <c r="B148" s="8"/>
      <c r="C148" s="9"/>
      <c r="D148" s="10" t="str">
        <f t="shared" si="12"/>
        <v/>
      </c>
      <c r="E148" s="1"/>
      <c r="F148" s="11" t="str">
        <f t="shared" si="13"/>
        <v/>
      </c>
      <c r="G148" s="11" t="str">
        <f t="shared" si="14"/>
        <v/>
      </c>
      <c r="H148" s="11" t="str">
        <f t="shared" si="15"/>
        <v/>
      </c>
      <c r="I148" s="12" t="str">
        <f t="shared" si="16"/>
        <v/>
      </c>
      <c r="J148" s="13" t="str">
        <f t="shared" si="17"/>
        <v/>
      </c>
    </row>
    <row r="149" spans="1:10" ht="23.1" customHeight="1">
      <c r="A149" s="1" t="str">
        <f>IF(COUNTA(B149:C149)=0,"",141)</f>
        <v/>
      </c>
      <c r="B149" s="8"/>
      <c r="C149" s="9"/>
      <c r="D149" s="10" t="str">
        <f t="shared" si="12"/>
        <v/>
      </c>
      <c r="E149" s="1"/>
      <c r="F149" s="11" t="str">
        <f t="shared" si="13"/>
        <v/>
      </c>
      <c r="G149" s="11" t="str">
        <f t="shared" si="14"/>
        <v/>
      </c>
      <c r="H149" s="11" t="str">
        <f t="shared" si="15"/>
        <v/>
      </c>
      <c r="I149" s="12" t="str">
        <f t="shared" si="16"/>
        <v/>
      </c>
      <c r="J149" s="13" t="str">
        <f t="shared" si="17"/>
        <v/>
      </c>
    </row>
    <row r="150" spans="1:10" ht="23.1" customHeight="1">
      <c r="A150" s="1" t="str">
        <f>IF(COUNTA(B150:C150)=0,"",142)</f>
        <v/>
      </c>
      <c r="B150" s="8"/>
      <c r="C150" s="9"/>
      <c r="D150" s="10" t="str">
        <f t="shared" si="12"/>
        <v/>
      </c>
      <c r="E150" s="1"/>
      <c r="F150" s="11" t="str">
        <f t="shared" si="13"/>
        <v/>
      </c>
      <c r="G150" s="11" t="str">
        <f t="shared" si="14"/>
        <v/>
      </c>
      <c r="H150" s="11" t="str">
        <f t="shared" si="15"/>
        <v/>
      </c>
      <c r="I150" s="12" t="str">
        <f t="shared" si="16"/>
        <v/>
      </c>
      <c r="J150" s="13" t="str">
        <f t="shared" si="17"/>
        <v/>
      </c>
    </row>
    <row r="151" spans="1:10" ht="23.1" customHeight="1">
      <c r="A151" s="1" t="str">
        <f>IF(COUNTA(B151:C151)=0,"",143)</f>
        <v/>
      </c>
      <c r="B151" s="8"/>
      <c r="C151" s="9"/>
      <c r="D151" s="10" t="str">
        <f t="shared" si="12"/>
        <v/>
      </c>
      <c r="E151" s="1"/>
      <c r="F151" s="11" t="str">
        <f t="shared" si="13"/>
        <v/>
      </c>
      <c r="G151" s="11" t="str">
        <f t="shared" si="14"/>
        <v/>
      </c>
      <c r="H151" s="11" t="str">
        <f t="shared" si="15"/>
        <v/>
      </c>
      <c r="I151" s="12" t="str">
        <f t="shared" si="16"/>
        <v/>
      </c>
      <c r="J151" s="13" t="str">
        <f t="shared" si="17"/>
        <v/>
      </c>
    </row>
    <row r="152" spans="1:10" ht="23.1" customHeight="1">
      <c r="A152" s="1" t="str">
        <f>IF(COUNTA(B152:C152)=0,"",144)</f>
        <v/>
      </c>
      <c r="B152" s="8"/>
      <c r="C152" s="9"/>
      <c r="D152" s="10" t="str">
        <f t="shared" si="12"/>
        <v/>
      </c>
      <c r="E152" s="1"/>
      <c r="F152" s="11" t="str">
        <f t="shared" si="13"/>
        <v/>
      </c>
      <c r="G152" s="11" t="str">
        <f t="shared" si="14"/>
        <v/>
      </c>
      <c r="H152" s="11" t="str">
        <f t="shared" si="15"/>
        <v/>
      </c>
      <c r="I152" s="12" t="str">
        <f t="shared" si="16"/>
        <v/>
      </c>
      <c r="J152" s="13" t="str">
        <f t="shared" si="17"/>
        <v/>
      </c>
    </row>
    <row r="153" spans="1:10" ht="23.1" customHeight="1">
      <c r="A153" s="1" t="str">
        <f>IF(COUNTA(B153:C153)=0,"",145)</f>
        <v/>
      </c>
      <c r="B153" s="8"/>
      <c r="C153" s="9"/>
      <c r="D153" s="10" t="str">
        <f t="shared" si="12"/>
        <v/>
      </c>
      <c r="E153" s="1"/>
      <c r="F153" s="11" t="str">
        <f t="shared" si="13"/>
        <v/>
      </c>
      <c r="G153" s="11" t="str">
        <f t="shared" si="14"/>
        <v/>
      </c>
      <c r="H153" s="11" t="str">
        <f t="shared" si="15"/>
        <v/>
      </c>
      <c r="I153" s="12" t="str">
        <f t="shared" si="16"/>
        <v/>
      </c>
      <c r="J153" s="13" t="str">
        <f t="shared" si="17"/>
        <v/>
      </c>
    </row>
    <row r="154" spans="1:10" ht="23.1" customHeight="1">
      <c r="A154" s="1" t="str">
        <f>IF(COUNTA(B154:C154)=0,"",146)</f>
        <v/>
      </c>
      <c r="B154" s="8"/>
      <c r="C154" s="9"/>
      <c r="D154" s="10" t="str">
        <f t="shared" si="12"/>
        <v/>
      </c>
      <c r="E154" s="1"/>
      <c r="F154" s="11" t="str">
        <f t="shared" si="13"/>
        <v/>
      </c>
      <c r="G154" s="11" t="str">
        <f t="shared" si="14"/>
        <v/>
      </c>
      <c r="H154" s="11" t="str">
        <f t="shared" si="15"/>
        <v/>
      </c>
      <c r="I154" s="12" t="str">
        <f t="shared" si="16"/>
        <v/>
      </c>
      <c r="J154" s="13" t="str">
        <f t="shared" si="17"/>
        <v/>
      </c>
    </row>
    <row r="155" spans="1:10" ht="23.1" customHeight="1">
      <c r="A155" s="1" t="str">
        <f>IF(COUNTA(B155:C155)=0,"",147)</f>
        <v/>
      </c>
      <c r="B155" s="8"/>
      <c r="C155" s="9"/>
      <c r="D155" s="10" t="str">
        <f t="shared" si="12"/>
        <v/>
      </c>
      <c r="E155" s="1"/>
      <c r="F155" s="11" t="str">
        <f t="shared" si="13"/>
        <v/>
      </c>
      <c r="G155" s="11" t="str">
        <f t="shared" si="14"/>
        <v/>
      </c>
      <c r="H155" s="11" t="str">
        <f t="shared" si="15"/>
        <v/>
      </c>
      <c r="I155" s="12" t="str">
        <f t="shared" si="16"/>
        <v/>
      </c>
      <c r="J155" s="13" t="str">
        <f t="shared" si="17"/>
        <v/>
      </c>
    </row>
    <row r="156" spans="1:10" ht="23.1" customHeight="1">
      <c r="A156" s="1" t="str">
        <f>IF(COUNTA(B156:C156)=0,"",148)</f>
        <v/>
      </c>
      <c r="B156" s="8"/>
      <c r="C156" s="9"/>
      <c r="D156" s="10" t="str">
        <f t="shared" si="12"/>
        <v/>
      </c>
      <c r="E156" s="1"/>
      <c r="F156" s="11" t="str">
        <f t="shared" si="13"/>
        <v/>
      </c>
      <c r="G156" s="11" t="str">
        <f t="shared" si="14"/>
        <v/>
      </c>
      <c r="H156" s="11" t="str">
        <f t="shared" si="15"/>
        <v/>
      </c>
      <c r="I156" s="12" t="str">
        <f t="shared" si="16"/>
        <v/>
      </c>
      <c r="J156" s="13" t="str">
        <f t="shared" si="17"/>
        <v/>
      </c>
    </row>
    <row r="157" spans="1:10" ht="23.1" customHeight="1">
      <c r="A157" s="1" t="str">
        <f>IF(COUNTA(B157:C157)=0,"",149)</f>
        <v/>
      </c>
      <c r="B157" s="8"/>
      <c r="C157" s="9"/>
      <c r="D157" s="10" t="str">
        <f t="shared" si="12"/>
        <v/>
      </c>
      <c r="E157" s="1"/>
      <c r="F157" s="11" t="str">
        <f t="shared" si="13"/>
        <v/>
      </c>
      <c r="G157" s="11" t="str">
        <f t="shared" si="14"/>
        <v/>
      </c>
      <c r="H157" s="11" t="str">
        <f t="shared" si="15"/>
        <v/>
      </c>
      <c r="I157" s="12" t="str">
        <f t="shared" si="16"/>
        <v/>
      </c>
      <c r="J157" s="13" t="str">
        <f t="shared" si="17"/>
        <v/>
      </c>
    </row>
    <row r="158" spans="1:10" ht="23.1" customHeight="1">
      <c r="A158" s="1" t="str">
        <f>IF(COUNTA(B158:C158)=0,"",150)</f>
        <v/>
      </c>
      <c r="B158" s="8"/>
      <c r="C158" s="9"/>
      <c r="D158" s="10" t="str">
        <f t="shared" si="12"/>
        <v/>
      </c>
      <c r="E158" s="1"/>
      <c r="F158" s="11" t="str">
        <f t="shared" si="13"/>
        <v/>
      </c>
      <c r="G158" s="11" t="str">
        <f t="shared" si="14"/>
        <v/>
      </c>
      <c r="H158" s="11" t="str">
        <f t="shared" si="15"/>
        <v/>
      </c>
      <c r="I158" s="12" t="str">
        <f t="shared" si="16"/>
        <v/>
      </c>
      <c r="J158" s="13" t="str">
        <f t="shared" si="17"/>
        <v/>
      </c>
    </row>
    <row r="159" spans="1:10" ht="23.1" customHeight="1">
      <c r="A159" s="1" t="str">
        <f>IF(COUNTA(B159:C159)=0,"",151)</f>
        <v/>
      </c>
      <c r="B159" s="8"/>
      <c r="C159" s="9"/>
      <c r="D159" s="10" t="str">
        <f t="shared" si="12"/>
        <v/>
      </c>
      <c r="E159" s="1"/>
      <c r="F159" s="11" t="str">
        <f t="shared" si="13"/>
        <v/>
      </c>
      <c r="G159" s="11" t="str">
        <f t="shared" si="14"/>
        <v/>
      </c>
      <c r="H159" s="11" t="str">
        <f t="shared" si="15"/>
        <v/>
      </c>
      <c r="I159" s="12" t="str">
        <f t="shared" si="16"/>
        <v/>
      </c>
      <c r="J159" s="13" t="str">
        <f t="shared" si="17"/>
        <v/>
      </c>
    </row>
    <row r="160" spans="1:10" ht="23.1" customHeight="1">
      <c r="A160" s="1" t="str">
        <f>IF(COUNTA(B160:C160)=0,"",152)</f>
        <v/>
      </c>
      <c r="B160" s="8"/>
      <c r="C160" s="9"/>
      <c r="D160" s="10" t="str">
        <f t="shared" si="12"/>
        <v/>
      </c>
      <c r="E160" s="1"/>
      <c r="F160" s="11" t="str">
        <f t="shared" si="13"/>
        <v/>
      </c>
      <c r="G160" s="11" t="str">
        <f t="shared" si="14"/>
        <v/>
      </c>
      <c r="H160" s="11" t="str">
        <f t="shared" si="15"/>
        <v/>
      </c>
      <c r="I160" s="12" t="str">
        <f t="shared" si="16"/>
        <v/>
      </c>
      <c r="J160" s="13" t="str">
        <f t="shared" si="17"/>
        <v/>
      </c>
    </row>
    <row r="161" spans="1:10" ht="23.1" customHeight="1">
      <c r="A161" s="1" t="str">
        <f>IF(COUNTA(B161:C161)=0,"",153)</f>
        <v/>
      </c>
      <c r="B161" s="8"/>
      <c r="C161" s="9"/>
      <c r="D161" s="10" t="str">
        <f t="shared" si="12"/>
        <v/>
      </c>
      <c r="E161" s="1"/>
      <c r="F161" s="11" t="str">
        <f t="shared" si="13"/>
        <v/>
      </c>
      <c r="G161" s="11" t="str">
        <f t="shared" si="14"/>
        <v/>
      </c>
      <c r="H161" s="11" t="str">
        <f t="shared" si="15"/>
        <v/>
      </c>
      <c r="I161" s="12" t="str">
        <f t="shared" si="16"/>
        <v/>
      </c>
      <c r="J161" s="13" t="str">
        <f t="shared" si="17"/>
        <v/>
      </c>
    </row>
    <row r="162" spans="1:10" ht="23.1" customHeight="1">
      <c r="A162" s="1" t="str">
        <f>IF(COUNTA(B162:C162)=0,"",154)</f>
        <v/>
      </c>
      <c r="B162" s="8"/>
      <c r="C162" s="9"/>
      <c r="D162" s="10" t="str">
        <f t="shared" si="12"/>
        <v/>
      </c>
      <c r="E162" s="1"/>
      <c r="F162" s="11" t="str">
        <f t="shared" si="13"/>
        <v/>
      </c>
      <c r="G162" s="11" t="str">
        <f t="shared" si="14"/>
        <v/>
      </c>
      <c r="H162" s="11" t="str">
        <f t="shared" si="15"/>
        <v/>
      </c>
      <c r="I162" s="12" t="str">
        <f t="shared" si="16"/>
        <v/>
      </c>
      <c r="J162" s="13" t="str">
        <f t="shared" si="17"/>
        <v/>
      </c>
    </row>
    <row r="163" spans="1:10" ht="23.1" customHeight="1">
      <c r="A163" s="1" t="str">
        <f>IF(COUNTA(B163:C163)=0,"",155)</f>
        <v/>
      </c>
      <c r="B163" s="8"/>
      <c r="C163" s="9"/>
      <c r="D163" s="10" t="str">
        <f t="shared" si="12"/>
        <v/>
      </c>
      <c r="E163" s="1"/>
      <c r="F163" s="11" t="str">
        <f t="shared" si="13"/>
        <v/>
      </c>
      <c r="G163" s="11" t="str">
        <f t="shared" si="14"/>
        <v/>
      </c>
      <c r="H163" s="11" t="str">
        <f t="shared" si="15"/>
        <v/>
      </c>
      <c r="I163" s="12" t="str">
        <f t="shared" si="16"/>
        <v/>
      </c>
      <c r="J163" s="13" t="str">
        <f t="shared" si="17"/>
        <v/>
      </c>
    </row>
    <row r="164" spans="1:10" ht="23.1" customHeight="1">
      <c r="A164" s="1" t="str">
        <f>IF(COUNTA(B164:C164)=0,"",156)</f>
        <v/>
      </c>
      <c r="B164" s="8"/>
      <c r="C164" s="9"/>
      <c r="D164" s="10" t="str">
        <f t="shared" si="12"/>
        <v/>
      </c>
      <c r="E164" s="1"/>
      <c r="F164" s="11" t="str">
        <f t="shared" si="13"/>
        <v/>
      </c>
      <c r="G164" s="11" t="str">
        <f t="shared" si="14"/>
        <v/>
      </c>
      <c r="H164" s="11" t="str">
        <f t="shared" si="15"/>
        <v/>
      </c>
      <c r="I164" s="12" t="str">
        <f t="shared" si="16"/>
        <v/>
      </c>
      <c r="J164" s="13" t="str">
        <f t="shared" si="17"/>
        <v/>
      </c>
    </row>
    <row r="165" spans="1:10" ht="23.1" customHeight="1">
      <c r="A165" s="1" t="str">
        <f>IF(COUNTA(B165:C165)=0,"",157)</f>
        <v/>
      </c>
      <c r="B165" s="8"/>
      <c r="C165" s="9"/>
      <c r="D165" s="10" t="str">
        <f t="shared" si="12"/>
        <v/>
      </c>
      <c r="E165" s="1"/>
      <c r="F165" s="11" t="str">
        <f t="shared" si="13"/>
        <v/>
      </c>
      <c r="G165" s="11" t="str">
        <f t="shared" si="14"/>
        <v/>
      </c>
      <c r="H165" s="11" t="str">
        <f t="shared" si="15"/>
        <v/>
      </c>
      <c r="I165" s="12" t="str">
        <f t="shared" si="16"/>
        <v/>
      </c>
      <c r="J165" s="13" t="str">
        <f t="shared" si="17"/>
        <v/>
      </c>
    </row>
    <row r="166" spans="1:10" ht="23.1" customHeight="1">
      <c r="A166" s="1" t="str">
        <f>IF(COUNTA(B166:C166)=0,"",158)</f>
        <v/>
      </c>
      <c r="B166" s="8"/>
      <c r="C166" s="9"/>
      <c r="D166" s="10" t="str">
        <f t="shared" si="12"/>
        <v/>
      </c>
      <c r="E166" s="1"/>
      <c r="F166" s="11" t="str">
        <f t="shared" si="13"/>
        <v/>
      </c>
      <c r="G166" s="11" t="str">
        <f t="shared" si="14"/>
        <v/>
      </c>
      <c r="H166" s="11" t="str">
        <f t="shared" si="15"/>
        <v/>
      </c>
      <c r="I166" s="12" t="str">
        <f t="shared" si="16"/>
        <v/>
      </c>
      <c r="J166" s="13" t="str">
        <f t="shared" si="17"/>
        <v/>
      </c>
    </row>
    <row r="167" spans="1:10" ht="23.1" customHeight="1">
      <c r="A167" s="1" t="str">
        <f>IF(COUNTA(B167:C167)=0,"",159)</f>
        <v/>
      </c>
      <c r="B167" s="8"/>
      <c r="C167" s="9"/>
      <c r="D167" s="10" t="str">
        <f t="shared" si="12"/>
        <v/>
      </c>
      <c r="E167" s="1"/>
      <c r="F167" s="11" t="str">
        <f t="shared" si="13"/>
        <v/>
      </c>
      <c r="G167" s="11" t="str">
        <f t="shared" si="14"/>
        <v/>
      </c>
      <c r="H167" s="11" t="str">
        <f t="shared" si="15"/>
        <v/>
      </c>
      <c r="I167" s="12" t="str">
        <f t="shared" si="16"/>
        <v/>
      </c>
      <c r="J167" s="13" t="str">
        <f t="shared" si="17"/>
        <v/>
      </c>
    </row>
    <row r="168" spans="1:10" ht="23.1" customHeight="1">
      <c r="A168" s="1" t="str">
        <f>IF(COUNTA(B168:C168)=0,"",160)</f>
        <v/>
      </c>
      <c r="B168" s="8"/>
      <c r="C168" s="9"/>
      <c r="D168" s="10" t="str">
        <f t="shared" si="12"/>
        <v/>
      </c>
      <c r="E168" s="1"/>
      <c r="F168" s="11" t="str">
        <f t="shared" si="13"/>
        <v/>
      </c>
      <c r="G168" s="11" t="str">
        <f t="shared" si="14"/>
        <v/>
      </c>
      <c r="H168" s="11" t="str">
        <f t="shared" si="15"/>
        <v/>
      </c>
      <c r="I168" s="12" t="str">
        <f t="shared" si="16"/>
        <v/>
      </c>
      <c r="J168" s="13" t="str">
        <f t="shared" si="17"/>
        <v/>
      </c>
    </row>
    <row r="169" spans="1:10" ht="23.1" customHeight="1">
      <c r="A169" s="1" t="str">
        <f>IF(COUNTA(B169:C169)=0,"",161)</f>
        <v/>
      </c>
      <c r="B169" s="8"/>
      <c r="C169" s="9"/>
      <c r="D169" s="10" t="str">
        <f t="shared" si="12"/>
        <v/>
      </c>
      <c r="E169" s="1"/>
      <c r="F169" s="11" t="str">
        <f t="shared" si="13"/>
        <v/>
      </c>
      <c r="G169" s="11" t="str">
        <f t="shared" si="14"/>
        <v/>
      </c>
      <c r="H169" s="11" t="str">
        <f t="shared" si="15"/>
        <v/>
      </c>
      <c r="I169" s="12" t="str">
        <f t="shared" si="16"/>
        <v/>
      </c>
      <c r="J169" s="13" t="str">
        <f t="shared" si="17"/>
        <v/>
      </c>
    </row>
    <row r="170" spans="1:10" ht="23.1" customHeight="1">
      <c r="A170" s="1" t="str">
        <f>IF(COUNTA(B170:C170)=0,"",162)</f>
        <v/>
      </c>
      <c r="B170" s="8"/>
      <c r="C170" s="9"/>
      <c r="D170" s="10" t="str">
        <f t="shared" si="12"/>
        <v/>
      </c>
      <c r="E170" s="1"/>
      <c r="F170" s="11" t="str">
        <f t="shared" si="13"/>
        <v/>
      </c>
      <c r="G170" s="11" t="str">
        <f t="shared" si="14"/>
        <v/>
      </c>
      <c r="H170" s="11" t="str">
        <f t="shared" si="15"/>
        <v/>
      </c>
      <c r="I170" s="12" t="str">
        <f t="shared" si="16"/>
        <v/>
      </c>
      <c r="J170" s="13" t="str">
        <f t="shared" si="17"/>
        <v/>
      </c>
    </row>
    <row r="171" spans="1:10" ht="23.1" customHeight="1">
      <c r="A171" s="1" t="str">
        <f>IF(COUNTA(B171:C171)=0,"",163)</f>
        <v/>
      </c>
      <c r="B171" s="8"/>
      <c r="C171" s="9"/>
      <c r="D171" s="10" t="str">
        <f t="shared" si="12"/>
        <v/>
      </c>
      <c r="E171" s="1"/>
      <c r="F171" s="11" t="str">
        <f t="shared" si="13"/>
        <v/>
      </c>
      <c r="G171" s="11" t="str">
        <f t="shared" si="14"/>
        <v/>
      </c>
      <c r="H171" s="11" t="str">
        <f t="shared" si="15"/>
        <v/>
      </c>
      <c r="I171" s="12" t="str">
        <f t="shared" si="16"/>
        <v/>
      </c>
      <c r="J171" s="13" t="str">
        <f t="shared" si="17"/>
        <v/>
      </c>
    </row>
    <row r="172" spans="1:10" ht="23.1" customHeight="1">
      <c r="A172" s="1" t="str">
        <f>IF(COUNTA(B172:C172)=0,"",164)</f>
        <v/>
      </c>
      <c r="B172" s="8"/>
      <c r="C172" s="9"/>
      <c r="D172" s="10" t="str">
        <f t="shared" si="12"/>
        <v/>
      </c>
      <c r="E172" s="1"/>
      <c r="F172" s="11" t="str">
        <f t="shared" si="13"/>
        <v/>
      </c>
      <c r="G172" s="11" t="str">
        <f t="shared" si="14"/>
        <v/>
      </c>
      <c r="H172" s="11" t="str">
        <f t="shared" si="15"/>
        <v/>
      </c>
      <c r="I172" s="12" t="str">
        <f t="shared" si="16"/>
        <v/>
      </c>
      <c r="J172" s="13" t="str">
        <f t="shared" si="17"/>
        <v/>
      </c>
    </row>
    <row r="173" spans="1:10" ht="23.1" customHeight="1">
      <c r="A173" s="1" t="str">
        <f>IF(COUNTA(B173:C173)=0,"",165)</f>
        <v/>
      </c>
      <c r="B173" s="8"/>
      <c r="C173" s="9"/>
      <c r="D173" s="10" t="str">
        <f t="shared" si="12"/>
        <v/>
      </c>
      <c r="E173" s="1"/>
      <c r="F173" s="11" t="str">
        <f t="shared" si="13"/>
        <v/>
      </c>
      <c r="G173" s="11" t="str">
        <f t="shared" si="14"/>
        <v/>
      </c>
      <c r="H173" s="11" t="str">
        <f t="shared" si="15"/>
        <v/>
      </c>
      <c r="I173" s="12" t="str">
        <f t="shared" si="16"/>
        <v/>
      </c>
      <c r="J173" s="13" t="str">
        <f t="shared" si="17"/>
        <v/>
      </c>
    </row>
    <row r="174" spans="1:10" ht="23.1" customHeight="1">
      <c r="A174" s="1" t="str">
        <f>IF(COUNTA(B174:C174)=0,"",166)</f>
        <v/>
      </c>
      <c r="B174" s="8"/>
      <c r="C174" s="9"/>
      <c r="D174" s="10" t="str">
        <f t="shared" si="12"/>
        <v/>
      </c>
      <c r="E174" s="1"/>
      <c r="F174" s="11" t="str">
        <f t="shared" si="13"/>
        <v/>
      </c>
      <c r="G174" s="11" t="str">
        <f t="shared" si="14"/>
        <v/>
      </c>
      <c r="H174" s="11" t="str">
        <f t="shared" si="15"/>
        <v/>
      </c>
      <c r="I174" s="12" t="str">
        <f t="shared" si="16"/>
        <v/>
      </c>
      <c r="J174" s="13" t="str">
        <f t="shared" si="17"/>
        <v/>
      </c>
    </row>
    <row r="175" spans="1:10" ht="23.1" customHeight="1">
      <c r="A175" s="1" t="str">
        <f>IF(COUNTA(B175:C175)=0,"",167)</f>
        <v/>
      </c>
      <c r="B175" s="8"/>
      <c r="C175" s="9"/>
      <c r="D175" s="10" t="str">
        <f t="shared" si="12"/>
        <v/>
      </c>
      <c r="E175" s="1"/>
      <c r="F175" s="11" t="str">
        <f t="shared" si="13"/>
        <v/>
      </c>
      <c r="G175" s="11" t="str">
        <f t="shared" si="14"/>
        <v/>
      </c>
      <c r="H175" s="11" t="str">
        <f t="shared" si="15"/>
        <v/>
      </c>
      <c r="I175" s="12" t="str">
        <f t="shared" si="16"/>
        <v/>
      </c>
      <c r="J175" s="13" t="str">
        <f t="shared" si="17"/>
        <v/>
      </c>
    </row>
    <row r="176" spans="1:10" ht="23.1" customHeight="1">
      <c r="A176" s="1" t="str">
        <f>IF(COUNTA(B176:C176)=0,"",168)</f>
        <v/>
      </c>
      <c r="B176" s="8"/>
      <c r="C176" s="9"/>
      <c r="D176" s="10" t="str">
        <f t="shared" si="12"/>
        <v/>
      </c>
      <c r="E176" s="1"/>
      <c r="F176" s="11" t="str">
        <f t="shared" si="13"/>
        <v/>
      </c>
      <c r="G176" s="11" t="str">
        <f t="shared" si="14"/>
        <v/>
      </c>
      <c r="H176" s="11" t="str">
        <f t="shared" si="15"/>
        <v/>
      </c>
      <c r="I176" s="12" t="str">
        <f t="shared" si="16"/>
        <v/>
      </c>
      <c r="J176" s="13" t="str">
        <f t="shared" si="17"/>
        <v/>
      </c>
    </row>
    <row r="177" spans="1:10" ht="23.1" customHeight="1">
      <c r="A177" s="1" t="str">
        <f>IF(COUNTA(B177:C177)=0,"",169)</f>
        <v/>
      </c>
      <c r="B177" s="8"/>
      <c r="C177" s="9"/>
      <c r="D177" s="10" t="str">
        <f t="shared" si="12"/>
        <v/>
      </c>
      <c r="E177" s="1"/>
      <c r="F177" s="11" t="str">
        <f t="shared" si="13"/>
        <v/>
      </c>
      <c r="G177" s="11" t="str">
        <f t="shared" si="14"/>
        <v/>
      </c>
      <c r="H177" s="11" t="str">
        <f t="shared" si="15"/>
        <v/>
      </c>
      <c r="I177" s="12" t="str">
        <f t="shared" si="16"/>
        <v/>
      </c>
      <c r="J177" s="13" t="str">
        <f t="shared" si="17"/>
        <v/>
      </c>
    </row>
    <row r="178" spans="1:10" ht="23.1" customHeight="1">
      <c r="A178" s="1" t="str">
        <f>IF(COUNTA(B178:C178)=0,"",170)</f>
        <v/>
      </c>
      <c r="B178" s="8"/>
      <c r="C178" s="9"/>
      <c r="D178" s="10" t="str">
        <f t="shared" si="12"/>
        <v/>
      </c>
      <c r="E178" s="1"/>
      <c r="F178" s="11" t="str">
        <f t="shared" si="13"/>
        <v/>
      </c>
      <c r="G178" s="11" t="str">
        <f t="shared" si="14"/>
        <v/>
      </c>
      <c r="H178" s="11" t="str">
        <f t="shared" si="15"/>
        <v/>
      </c>
      <c r="I178" s="12" t="str">
        <f t="shared" si="16"/>
        <v/>
      </c>
      <c r="J178" s="13" t="str">
        <f t="shared" si="17"/>
        <v/>
      </c>
    </row>
    <row r="179" spans="1:10" ht="23.1" customHeight="1">
      <c r="A179" s="1" t="str">
        <f>IF(COUNTA(B179:C179)=0,"",171)</f>
        <v/>
      </c>
      <c r="B179" s="8"/>
      <c r="C179" s="9"/>
      <c r="D179" s="10" t="str">
        <f t="shared" si="12"/>
        <v/>
      </c>
      <c r="E179" s="1"/>
      <c r="F179" s="11" t="str">
        <f t="shared" si="13"/>
        <v/>
      </c>
      <c r="G179" s="11" t="str">
        <f t="shared" si="14"/>
        <v/>
      </c>
      <c r="H179" s="11" t="str">
        <f t="shared" si="15"/>
        <v/>
      </c>
      <c r="I179" s="12" t="str">
        <f t="shared" si="16"/>
        <v/>
      </c>
      <c r="J179" s="13" t="str">
        <f t="shared" si="17"/>
        <v/>
      </c>
    </row>
    <row r="180" spans="1:10" ht="23.1" customHeight="1">
      <c r="A180" s="1" t="str">
        <f>IF(COUNTA(B180:C180)=0,"",172)</f>
        <v/>
      </c>
      <c r="B180" s="8"/>
      <c r="C180" s="9"/>
      <c r="D180" s="10" t="str">
        <f t="shared" si="12"/>
        <v/>
      </c>
      <c r="E180" s="1"/>
      <c r="F180" s="11" t="str">
        <f t="shared" si="13"/>
        <v/>
      </c>
      <c r="G180" s="11" t="str">
        <f t="shared" si="14"/>
        <v/>
      </c>
      <c r="H180" s="11" t="str">
        <f t="shared" si="15"/>
        <v/>
      </c>
      <c r="I180" s="12" t="str">
        <f t="shared" si="16"/>
        <v/>
      </c>
      <c r="J180" s="13" t="str">
        <f t="shared" si="17"/>
        <v/>
      </c>
    </row>
    <row r="181" spans="1:10" ht="23.1" customHeight="1">
      <c r="A181" s="1" t="str">
        <f>IF(COUNTA(B181:C181)=0,"",173)</f>
        <v/>
      </c>
      <c r="B181" s="8"/>
      <c r="C181" s="9"/>
      <c r="D181" s="10" t="str">
        <f t="shared" si="12"/>
        <v/>
      </c>
      <c r="E181" s="1"/>
      <c r="F181" s="11" t="str">
        <f t="shared" si="13"/>
        <v/>
      </c>
      <c r="G181" s="11" t="str">
        <f t="shared" si="14"/>
        <v/>
      </c>
      <c r="H181" s="11" t="str">
        <f t="shared" si="15"/>
        <v/>
      </c>
      <c r="I181" s="12" t="str">
        <f t="shared" si="16"/>
        <v/>
      </c>
      <c r="J181" s="13" t="str">
        <f t="shared" si="17"/>
        <v/>
      </c>
    </row>
    <row r="182" spans="1:10" ht="23.1" customHeight="1">
      <c r="A182" s="1" t="str">
        <f>IF(COUNTA(B182:C182)=0,"",174)</f>
        <v/>
      </c>
      <c r="B182" s="8"/>
      <c r="C182" s="9"/>
      <c r="D182" s="10" t="str">
        <f t="shared" si="12"/>
        <v/>
      </c>
      <c r="E182" s="1"/>
      <c r="F182" s="11" t="str">
        <f t="shared" si="13"/>
        <v/>
      </c>
      <c r="G182" s="11" t="str">
        <f t="shared" si="14"/>
        <v/>
      </c>
      <c r="H182" s="11" t="str">
        <f t="shared" si="15"/>
        <v/>
      </c>
      <c r="I182" s="12" t="str">
        <f t="shared" si="16"/>
        <v/>
      </c>
      <c r="J182" s="13" t="str">
        <f t="shared" si="17"/>
        <v/>
      </c>
    </row>
    <row r="183" spans="1:10" ht="23.1" customHeight="1">
      <c r="A183" s="1" t="str">
        <f>IF(COUNTA(B183:C183)=0,"",175)</f>
        <v/>
      </c>
      <c r="B183" s="8"/>
      <c r="C183" s="9"/>
      <c r="D183" s="10" t="str">
        <f t="shared" si="12"/>
        <v/>
      </c>
      <c r="E183" s="1"/>
      <c r="F183" s="11" t="str">
        <f t="shared" si="13"/>
        <v/>
      </c>
      <c r="G183" s="11" t="str">
        <f t="shared" si="14"/>
        <v/>
      </c>
      <c r="H183" s="11" t="str">
        <f t="shared" si="15"/>
        <v/>
      </c>
      <c r="I183" s="12" t="str">
        <f t="shared" si="16"/>
        <v/>
      </c>
      <c r="J183" s="13" t="str">
        <f t="shared" si="17"/>
        <v/>
      </c>
    </row>
    <row r="184" spans="1:10" ht="23.1" customHeight="1">
      <c r="A184" s="1" t="str">
        <f>IF(COUNTA(B184:C184)=0,"",176)</f>
        <v/>
      </c>
      <c r="B184" s="8"/>
      <c r="C184" s="9"/>
      <c r="D184" s="10" t="str">
        <f t="shared" si="12"/>
        <v/>
      </c>
      <c r="E184" s="1"/>
      <c r="F184" s="11" t="str">
        <f t="shared" si="13"/>
        <v/>
      </c>
      <c r="G184" s="11" t="str">
        <f t="shared" si="14"/>
        <v/>
      </c>
      <c r="H184" s="11" t="str">
        <f t="shared" si="15"/>
        <v/>
      </c>
      <c r="I184" s="12" t="str">
        <f t="shared" si="16"/>
        <v/>
      </c>
      <c r="J184" s="13" t="str">
        <f t="shared" si="17"/>
        <v/>
      </c>
    </row>
    <row r="185" spans="1:10" ht="23.1" customHeight="1">
      <c r="A185" s="1" t="str">
        <f>IF(COUNTA(B185:C185)=0,"",177)</f>
        <v/>
      </c>
      <c r="B185" s="8"/>
      <c r="C185" s="9"/>
      <c r="D185" s="10" t="str">
        <f t="shared" si="12"/>
        <v/>
      </c>
      <c r="E185" s="1"/>
      <c r="F185" s="11" t="str">
        <f t="shared" si="13"/>
        <v/>
      </c>
      <c r="G185" s="11" t="str">
        <f t="shared" si="14"/>
        <v/>
      </c>
      <c r="H185" s="11" t="str">
        <f t="shared" si="15"/>
        <v/>
      </c>
      <c r="I185" s="12" t="str">
        <f t="shared" si="16"/>
        <v/>
      </c>
      <c r="J185" s="13" t="str">
        <f t="shared" si="17"/>
        <v/>
      </c>
    </row>
    <row r="186" spans="1:10" ht="23.1" customHeight="1">
      <c r="A186" s="1" t="str">
        <f>IF(COUNTA(B186:C186)=0,"",178)</f>
        <v/>
      </c>
      <c r="B186" s="8"/>
      <c r="C186" s="9"/>
      <c r="D186" s="10" t="str">
        <f t="shared" si="12"/>
        <v/>
      </c>
      <c r="E186" s="1"/>
      <c r="F186" s="11" t="str">
        <f t="shared" si="13"/>
        <v/>
      </c>
      <c r="G186" s="11" t="str">
        <f t="shared" si="14"/>
        <v/>
      </c>
      <c r="H186" s="11" t="str">
        <f t="shared" si="15"/>
        <v/>
      </c>
      <c r="I186" s="12" t="str">
        <f t="shared" si="16"/>
        <v/>
      </c>
      <c r="J186" s="13" t="str">
        <f t="shared" si="17"/>
        <v/>
      </c>
    </row>
    <row r="187" spans="1:10" ht="23.1" customHeight="1">
      <c r="A187" s="1" t="str">
        <f>IF(COUNTA(B187:C187)=0,"",179)</f>
        <v/>
      </c>
      <c r="B187" s="8"/>
      <c r="C187" s="9"/>
      <c r="D187" s="10" t="str">
        <f t="shared" si="12"/>
        <v/>
      </c>
      <c r="E187" s="1"/>
      <c r="F187" s="11" t="str">
        <f t="shared" si="13"/>
        <v/>
      </c>
      <c r="G187" s="11" t="str">
        <f t="shared" si="14"/>
        <v/>
      </c>
      <c r="H187" s="11" t="str">
        <f t="shared" si="15"/>
        <v/>
      </c>
      <c r="I187" s="12" t="str">
        <f t="shared" si="16"/>
        <v/>
      </c>
      <c r="J187" s="13" t="str">
        <f t="shared" si="17"/>
        <v/>
      </c>
    </row>
    <row r="188" spans="1:10" ht="23.1" customHeight="1">
      <c r="A188" s="1" t="str">
        <f>IF(COUNTA(B188:C188)=0,"",180)</f>
        <v/>
      </c>
      <c r="B188" s="8"/>
      <c r="C188" s="9"/>
      <c r="D188" s="10" t="str">
        <f t="shared" si="12"/>
        <v/>
      </c>
      <c r="E188" s="1"/>
      <c r="F188" s="11" t="str">
        <f t="shared" si="13"/>
        <v/>
      </c>
      <c r="G188" s="11" t="str">
        <f t="shared" si="14"/>
        <v/>
      </c>
      <c r="H188" s="11" t="str">
        <f t="shared" si="15"/>
        <v/>
      </c>
      <c r="I188" s="12" t="str">
        <f t="shared" si="16"/>
        <v/>
      </c>
      <c r="J188" s="13" t="str">
        <f t="shared" si="17"/>
        <v/>
      </c>
    </row>
    <row r="189" spans="1:10" ht="23.1" customHeight="1">
      <c r="A189" s="1" t="str">
        <f>IF(COUNTA(B189:C189)=0,"",181)</f>
        <v/>
      </c>
      <c r="B189" s="8"/>
      <c r="C189" s="9"/>
      <c r="D189" s="10" t="str">
        <f t="shared" si="12"/>
        <v/>
      </c>
      <c r="E189" s="1"/>
      <c r="F189" s="11" t="str">
        <f t="shared" si="13"/>
        <v/>
      </c>
      <c r="G189" s="11" t="str">
        <f t="shared" si="14"/>
        <v/>
      </c>
      <c r="H189" s="11" t="str">
        <f t="shared" si="15"/>
        <v/>
      </c>
      <c r="I189" s="12" t="str">
        <f t="shared" si="16"/>
        <v/>
      </c>
      <c r="J189" s="13" t="str">
        <f t="shared" si="17"/>
        <v/>
      </c>
    </row>
    <row r="190" spans="1:10" ht="23.1" customHeight="1">
      <c r="A190" s="1" t="str">
        <f>IF(COUNTA(B190:C190)=0,"",182)</f>
        <v/>
      </c>
      <c r="B190" s="8"/>
      <c r="C190" s="9"/>
      <c r="D190" s="10" t="str">
        <f t="shared" si="12"/>
        <v/>
      </c>
      <c r="E190" s="1"/>
      <c r="F190" s="11" t="str">
        <f t="shared" si="13"/>
        <v/>
      </c>
      <c r="G190" s="11" t="str">
        <f t="shared" si="14"/>
        <v/>
      </c>
      <c r="H190" s="11" t="str">
        <f t="shared" si="15"/>
        <v/>
      </c>
      <c r="I190" s="12" t="str">
        <f t="shared" si="16"/>
        <v/>
      </c>
      <c r="J190" s="13" t="str">
        <f t="shared" si="17"/>
        <v/>
      </c>
    </row>
    <row r="191" spans="1:10" ht="23.1" customHeight="1">
      <c r="A191" s="1" t="str">
        <f>IF(COUNTA(B191:C191)=0,"",183)</f>
        <v/>
      </c>
      <c r="B191" s="8"/>
      <c r="C191" s="9"/>
      <c r="D191" s="10" t="str">
        <f t="shared" si="12"/>
        <v/>
      </c>
      <c r="E191" s="1"/>
      <c r="F191" s="11" t="str">
        <f t="shared" si="13"/>
        <v/>
      </c>
      <c r="G191" s="11" t="str">
        <f t="shared" si="14"/>
        <v/>
      </c>
      <c r="H191" s="11" t="str">
        <f t="shared" si="15"/>
        <v/>
      </c>
      <c r="I191" s="12" t="str">
        <f t="shared" si="16"/>
        <v/>
      </c>
      <c r="J191" s="13" t="str">
        <f t="shared" si="17"/>
        <v/>
      </c>
    </row>
    <row r="192" spans="1:10" ht="23.1" customHeight="1">
      <c r="A192" s="1" t="str">
        <f>IF(COUNTA(B192:C192)=0,"",184)</f>
        <v/>
      </c>
      <c r="B192" s="8"/>
      <c r="C192" s="9"/>
      <c r="D192" s="10" t="str">
        <f t="shared" si="12"/>
        <v/>
      </c>
      <c r="E192" s="1"/>
      <c r="F192" s="11" t="str">
        <f t="shared" si="13"/>
        <v/>
      </c>
      <c r="G192" s="11" t="str">
        <f t="shared" si="14"/>
        <v/>
      </c>
      <c r="H192" s="11" t="str">
        <f t="shared" si="15"/>
        <v/>
      </c>
      <c r="I192" s="12" t="str">
        <f t="shared" si="16"/>
        <v/>
      </c>
      <c r="J192" s="13" t="str">
        <f t="shared" si="17"/>
        <v/>
      </c>
    </row>
    <row r="193" spans="1:10" ht="23.1" customHeight="1">
      <c r="A193" s="1" t="str">
        <f>IF(COUNTA(B193:C193)=0,"",185)</f>
        <v/>
      </c>
      <c r="B193" s="8"/>
      <c r="C193" s="9"/>
      <c r="D193" s="10" t="str">
        <f t="shared" si="12"/>
        <v/>
      </c>
      <c r="E193" s="1"/>
      <c r="F193" s="11" t="str">
        <f t="shared" si="13"/>
        <v/>
      </c>
      <c r="G193" s="11" t="str">
        <f t="shared" si="14"/>
        <v/>
      </c>
      <c r="H193" s="11" t="str">
        <f t="shared" si="15"/>
        <v/>
      </c>
      <c r="I193" s="12" t="str">
        <f t="shared" si="16"/>
        <v/>
      </c>
      <c r="J193" s="13" t="str">
        <f t="shared" si="17"/>
        <v/>
      </c>
    </row>
    <row r="194" spans="1:10" ht="23.1" customHeight="1">
      <c r="A194" s="1" t="str">
        <f>IF(COUNTA(B194:C194)=0,"",186)</f>
        <v/>
      </c>
      <c r="B194" s="8"/>
      <c r="C194" s="9"/>
      <c r="D194" s="10" t="str">
        <f t="shared" si="12"/>
        <v/>
      </c>
      <c r="E194" s="1"/>
      <c r="F194" s="11" t="str">
        <f t="shared" si="13"/>
        <v/>
      </c>
      <c r="G194" s="11" t="str">
        <f t="shared" si="14"/>
        <v/>
      </c>
      <c r="H194" s="11" t="str">
        <f t="shared" si="15"/>
        <v/>
      </c>
      <c r="I194" s="12" t="str">
        <f t="shared" si="16"/>
        <v/>
      </c>
      <c r="J194" s="13" t="str">
        <f t="shared" si="17"/>
        <v/>
      </c>
    </row>
    <row r="195" spans="1:10" ht="23.1" customHeight="1">
      <c r="A195" s="1" t="str">
        <f>IF(COUNTA(B195:C195)=0,"",187)</f>
        <v/>
      </c>
      <c r="B195" s="8"/>
      <c r="C195" s="9"/>
      <c r="D195" s="10" t="str">
        <f t="shared" si="12"/>
        <v/>
      </c>
      <c r="E195" s="1"/>
      <c r="F195" s="11" t="str">
        <f t="shared" si="13"/>
        <v/>
      </c>
      <c r="G195" s="11" t="str">
        <f t="shared" si="14"/>
        <v/>
      </c>
      <c r="H195" s="11" t="str">
        <f t="shared" si="15"/>
        <v/>
      </c>
      <c r="I195" s="12" t="str">
        <f t="shared" si="16"/>
        <v/>
      </c>
      <c r="J195" s="13" t="str">
        <f t="shared" si="17"/>
        <v/>
      </c>
    </row>
    <row r="196" spans="1:10" ht="23.1" customHeight="1">
      <c r="A196" s="1" t="str">
        <f>IF(COUNTA(B196:C196)=0,"",188)</f>
        <v/>
      </c>
      <c r="B196" s="8"/>
      <c r="C196" s="9"/>
      <c r="D196" s="10" t="str">
        <f t="shared" si="12"/>
        <v/>
      </c>
      <c r="E196" s="1"/>
      <c r="F196" s="11" t="str">
        <f t="shared" si="13"/>
        <v/>
      </c>
      <c r="G196" s="11" t="str">
        <f t="shared" si="14"/>
        <v/>
      </c>
      <c r="H196" s="11" t="str">
        <f t="shared" si="15"/>
        <v/>
      </c>
      <c r="I196" s="12" t="str">
        <f t="shared" si="16"/>
        <v/>
      </c>
      <c r="J196" s="13" t="str">
        <f t="shared" si="17"/>
        <v/>
      </c>
    </row>
    <row r="197" spans="1:10" ht="23.1" customHeight="1">
      <c r="A197" s="1" t="str">
        <f>IF(COUNTA(B197:C197)=0,"",189)</f>
        <v/>
      </c>
      <c r="B197" s="8"/>
      <c r="C197" s="9"/>
      <c r="D197" s="10" t="str">
        <f t="shared" si="12"/>
        <v/>
      </c>
      <c r="E197" s="1"/>
      <c r="F197" s="11" t="str">
        <f t="shared" si="13"/>
        <v/>
      </c>
      <c r="G197" s="11" t="str">
        <f t="shared" si="14"/>
        <v/>
      </c>
      <c r="H197" s="11" t="str">
        <f t="shared" si="15"/>
        <v/>
      </c>
      <c r="I197" s="12" t="str">
        <f t="shared" si="16"/>
        <v/>
      </c>
      <c r="J197" s="13" t="str">
        <f t="shared" si="17"/>
        <v/>
      </c>
    </row>
    <row r="198" spans="1:10" ht="23.1" customHeight="1">
      <c r="A198" s="1" t="str">
        <f>IF(COUNTA(B198:C198)=0,"",190)</f>
        <v/>
      </c>
      <c r="B198" s="8"/>
      <c r="C198" s="9"/>
      <c r="D198" s="10" t="str">
        <f t="shared" si="12"/>
        <v/>
      </c>
      <c r="E198" s="1"/>
      <c r="F198" s="11" t="str">
        <f t="shared" si="13"/>
        <v/>
      </c>
      <c r="G198" s="11" t="str">
        <f t="shared" si="14"/>
        <v/>
      </c>
      <c r="H198" s="11" t="str">
        <f t="shared" si="15"/>
        <v/>
      </c>
      <c r="I198" s="12" t="str">
        <f t="shared" si="16"/>
        <v/>
      </c>
      <c r="J198" s="13" t="str">
        <f t="shared" si="17"/>
        <v/>
      </c>
    </row>
    <row r="199" spans="1:10" ht="23.1" customHeight="1">
      <c r="A199" s="1" t="str">
        <f>IF(COUNTA(B199:C199)=0,"",191)</f>
        <v/>
      </c>
      <c r="B199" s="8"/>
      <c r="C199" s="9"/>
      <c r="D199" s="10" t="str">
        <f t="shared" si="12"/>
        <v/>
      </c>
      <c r="E199" s="1"/>
      <c r="F199" s="11" t="str">
        <f t="shared" si="13"/>
        <v/>
      </c>
      <c r="G199" s="11" t="str">
        <f t="shared" si="14"/>
        <v/>
      </c>
      <c r="H199" s="11" t="str">
        <f t="shared" si="15"/>
        <v/>
      </c>
      <c r="I199" s="12" t="str">
        <f t="shared" si="16"/>
        <v/>
      </c>
      <c r="J199" s="13" t="str">
        <f t="shared" si="17"/>
        <v/>
      </c>
    </row>
    <row r="200" spans="1:10" ht="23.1" customHeight="1">
      <c r="A200" s="1" t="str">
        <f>IF(COUNTA(B200:C200)=0,"",192)</f>
        <v/>
      </c>
      <c r="B200" s="8"/>
      <c r="C200" s="9"/>
      <c r="D200" s="10" t="str">
        <f t="shared" si="12"/>
        <v/>
      </c>
      <c r="E200" s="1"/>
      <c r="F200" s="11" t="str">
        <f t="shared" si="13"/>
        <v/>
      </c>
      <c r="G200" s="11" t="str">
        <f t="shared" si="14"/>
        <v/>
      </c>
      <c r="H200" s="11" t="str">
        <f t="shared" si="15"/>
        <v/>
      </c>
      <c r="I200" s="12" t="str">
        <f t="shared" si="16"/>
        <v/>
      </c>
      <c r="J200" s="13" t="str">
        <f t="shared" si="17"/>
        <v/>
      </c>
    </row>
    <row r="201" spans="1:10" ht="23.1" customHeight="1">
      <c r="A201" s="1" t="str">
        <f>IF(COUNTA(B201:C201)=0,"",193)</f>
        <v/>
      </c>
      <c r="B201" s="8"/>
      <c r="C201" s="9"/>
      <c r="D201" s="10" t="str">
        <f t="shared" ref="D201:D264" si="18">IF(NOT(ISNUMBER(C201)),"",ROUND(C201*30%,2))</f>
        <v/>
      </c>
      <c r="E201" s="1"/>
      <c r="F201" s="11" t="str">
        <f t="shared" ref="F201:F264" si="19">IF(NOT(ISNUMBER(C201)),"",ROUND(H201*30%,2))</f>
        <v/>
      </c>
      <c r="G201" s="11" t="str">
        <f t="shared" ref="G201:G264" si="20">IF(NOT(ISNUMBER(C201)),"",ROUND(H201-F201,2))</f>
        <v/>
      </c>
      <c r="H201" s="11" t="str">
        <f t="shared" ref="H201:H264" si="21">IF(NOT(ISNUMBER(C201)),"",ROUND(C201-D201,2))</f>
        <v/>
      </c>
      <c r="I201" s="12" t="str">
        <f t="shared" ref="I201:I264" si="22">IF(NOT(ISNUMBER(C201)),"",ROUND(C201-SUM(D201,F201:G201),2))</f>
        <v/>
      </c>
      <c r="J201" s="13" t="str">
        <f t="shared" ref="J201:J264" si="23">IF(COUNTA(B201:C201)=0,"",IF(B201="","Falta apartamento",IF(NOT(ISNUMBER(C201)),"Falta valor","Completo")))</f>
        <v/>
      </c>
    </row>
    <row r="202" spans="1:10" ht="23.1" customHeight="1">
      <c r="A202" s="1" t="str">
        <f>IF(COUNTA(B202:C202)=0,"",194)</f>
        <v/>
      </c>
      <c r="B202" s="8"/>
      <c r="C202" s="9"/>
      <c r="D202" s="10" t="str">
        <f t="shared" si="18"/>
        <v/>
      </c>
      <c r="E202" s="1"/>
      <c r="F202" s="11" t="str">
        <f t="shared" si="19"/>
        <v/>
      </c>
      <c r="G202" s="11" t="str">
        <f t="shared" si="20"/>
        <v/>
      </c>
      <c r="H202" s="11" t="str">
        <f t="shared" si="21"/>
        <v/>
      </c>
      <c r="I202" s="12" t="str">
        <f t="shared" si="22"/>
        <v/>
      </c>
      <c r="J202" s="13" t="str">
        <f t="shared" si="23"/>
        <v/>
      </c>
    </row>
    <row r="203" spans="1:10" ht="23.1" customHeight="1">
      <c r="A203" s="1" t="str">
        <f>IF(COUNTA(B203:C203)=0,"",195)</f>
        <v/>
      </c>
      <c r="B203" s="8"/>
      <c r="C203" s="9"/>
      <c r="D203" s="10" t="str">
        <f t="shared" si="18"/>
        <v/>
      </c>
      <c r="E203" s="1"/>
      <c r="F203" s="11" t="str">
        <f t="shared" si="19"/>
        <v/>
      </c>
      <c r="G203" s="11" t="str">
        <f t="shared" si="20"/>
        <v/>
      </c>
      <c r="H203" s="11" t="str">
        <f t="shared" si="21"/>
        <v/>
      </c>
      <c r="I203" s="12" t="str">
        <f t="shared" si="22"/>
        <v/>
      </c>
      <c r="J203" s="13" t="str">
        <f t="shared" si="23"/>
        <v/>
      </c>
    </row>
    <row r="204" spans="1:10" ht="23.1" customHeight="1">
      <c r="A204" s="1" t="str">
        <f>IF(COUNTA(B204:C204)=0,"",196)</f>
        <v/>
      </c>
      <c r="B204" s="8"/>
      <c r="C204" s="9"/>
      <c r="D204" s="10" t="str">
        <f t="shared" si="18"/>
        <v/>
      </c>
      <c r="E204" s="1"/>
      <c r="F204" s="11" t="str">
        <f t="shared" si="19"/>
        <v/>
      </c>
      <c r="G204" s="11" t="str">
        <f t="shared" si="20"/>
        <v/>
      </c>
      <c r="H204" s="11" t="str">
        <f t="shared" si="21"/>
        <v/>
      </c>
      <c r="I204" s="12" t="str">
        <f t="shared" si="22"/>
        <v/>
      </c>
      <c r="J204" s="13" t="str">
        <f t="shared" si="23"/>
        <v/>
      </c>
    </row>
    <row r="205" spans="1:10" ht="23.1" customHeight="1">
      <c r="A205" s="1" t="str">
        <f>IF(COUNTA(B205:C205)=0,"",197)</f>
        <v/>
      </c>
      <c r="B205" s="8"/>
      <c r="C205" s="9"/>
      <c r="D205" s="10" t="str">
        <f t="shared" si="18"/>
        <v/>
      </c>
      <c r="E205" s="1"/>
      <c r="F205" s="11" t="str">
        <f t="shared" si="19"/>
        <v/>
      </c>
      <c r="G205" s="11" t="str">
        <f t="shared" si="20"/>
        <v/>
      </c>
      <c r="H205" s="11" t="str">
        <f t="shared" si="21"/>
        <v/>
      </c>
      <c r="I205" s="12" t="str">
        <f t="shared" si="22"/>
        <v/>
      </c>
      <c r="J205" s="13" t="str">
        <f t="shared" si="23"/>
        <v/>
      </c>
    </row>
    <row r="206" spans="1:10" ht="23.1" customHeight="1">
      <c r="A206" s="1" t="str">
        <f>IF(COUNTA(B206:C206)=0,"",198)</f>
        <v/>
      </c>
      <c r="B206" s="8"/>
      <c r="C206" s="9"/>
      <c r="D206" s="10" t="str">
        <f t="shared" si="18"/>
        <v/>
      </c>
      <c r="E206" s="1"/>
      <c r="F206" s="11" t="str">
        <f t="shared" si="19"/>
        <v/>
      </c>
      <c r="G206" s="11" t="str">
        <f t="shared" si="20"/>
        <v/>
      </c>
      <c r="H206" s="11" t="str">
        <f t="shared" si="21"/>
        <v/>
      </c>
      <c r="I206" s="12" t="str">
        <f t="shared" si="22"/>
        <v/>
      </c>
      <c r="J206" s="13" t="str">
        <f t="shared" si="23"/>
        <v/>
      </c>
    </row>
    <row r="207" spans="1:10" ht="23.1" customHeight="1">
      <c r="A207" s="1" t="str">
        <f>IF(COUNTA(B207:C207)=0,"",199)</f>
        <v/>
      </c>
      <c r="B207" s="8"/>
      <c r="C207" s="9"/>
      <c r="D207" s="10" t="str">
        <f t="shared" si="18"/>
        <v/>
      </c>
      <c r="E207" s="1"/>
      <c r="F207" s="11" t="str">
        <f t="shared" si="19"/>
        <v/>
      </c>
      <c r="G207" s="11" t="str">
        <f t="shared" si="20"/>
        <v/>
      </c>
      <c r="H207" s="11" t="str">
        <f t="shared" si="21"/>
        <v/>
      </c>
      <c r="I207" s="12" t="str">
        <f t="shared" si="22"/>
        <v/>
      </c>
      <c r="J207" s="13" t="str">
        <f t="shared" si="23"/>
        <v/>
      </c>
    </row>
    <row r="208" spans="1:10" ht="23.1" customHeight="1">
      <c r="A208" s="1" t="str">
        <f>IF(COUNTA(B208:C208)=0,"",200)</f>
        <v/>
      </c>
      <c r="B208" s="8"/>
      <c r="C208" s="9"/>
      <c r="D208" s="10" t="str">
        <f t="shared" si="18"/>
        <v/>
      </c>
      <c r="E208" s="1"/>
      <c r="F208" s="11" t="str">
        <f t="shared" si="19"/>
        <v/>
      </c>
      <c r="G208" s="11" t="str">
        <f t="shared" si="20"/>
        <v/>
      </c>
      <c r="H208" s="11" t="str">
        <f t="shared" si="21"/>
        <v/>
      </c>
      <c r="I208" s="12" t="str">
        <f t="shared" si="22"/>
        <v/>
      </c>
      <c r="J208" s="13" t="str">
        <f t="shared" si="23"/>
        <v/>
      </c>
    </row>
    <row r="209" spans="1:10" ht="23.1" customHeight="1">
      <c r="A209" s="1" t="str">
        <f>IF(COUNTA(B209:C209)=0,"",201)</f>
        <v/>
      </c>
      <c r="B209" s="8"/>
      <c r="C209" s="9"/>
      <c r="D209" s="10" t="str">
        <f t="shared" si="18"/>
        <v/>
      </c>
      <c r="E209" s="1"/>
      <c r="F209" s="11" t="str">
        <f t="shared" si="19"/>
        <v/>
      </c>
      <c r="G209" s="11" t="str">
        <f t="shared" si="20"/>
        <v/>
      </c>
      <c r="H209" s="11" t="str">
        <f t="shared" si="21"/>
        <v/>
      </c>
      <c r="I209" s="12" t="str">
        <f t="shared" si="22"/>
        <v/>
      </c>
      <c r="J209" s="13" t="str">
        <f t="shared" si="23"/>
        <v/>
      </c>
    </row>
    <row r="210" spans="1:10" ht="23.1" customHeight="1">
      <c r="A210" s="1" t="str">
        <f>IF(COUNTA(B210:C210)=0,"",202)</f>
        <v/>
      </c>
      <c r="B210" s="8"/>
      <c r="C210" s="9"/>
      <c r="D210" s="10" t="str">
        <f t="shared" si="18"/>
        <v/>
      </c>
      <c r="E210" s="1"/>
      <c r="F210" s="11" t="str">
        <f t="shared" si="19"/>
        <v/>
      </c>
      <c r="G210" s="11" t="str">
        <f t="shared" si="20"/>
        <v/>
      </c>
      <c r="H210" s="11" t="str">
        <f t="shared" si="21"/>
        <v/>
      </c>
      <c r="I210" s="12" t="str">
        <f t="shared" si="22"/>
        <v/>
      </c>
      <c r="J210" s="13" t="str">
        <f t="shared" si="23"/>
        <v/>
      </c>
    </row>
    <row r="211" spans="1:10" ht="23.1" customHeight="1">
      <c r="A211" s="1" t="str">
        <f>IF(COUNTA(B211:C211)=0,"",203)</f>
        <v/>
      </c>
      <c r="B211" s="8"/>
      <c r="C211" s="9"/>
      <c r="D211" s="10" t="str">
        <f t="shared" si="18"/>
        <v/>
      </c>
      <c r="E211" s="1"/>
      <c r="F211" s="11" t="str">
        <f t="shared" si="19"/>
        <v/>
      </c>
      <c r="G211" s="11" t="str">
        <f t="shared" si="20"/>
        <v/>
      </c>
      <c r="H211" s="11" t="str">
        <f t="shared" si="21"/>
        <v/>
      </c>
      <c r="I211" s="12" t="str">
        <f t="shared" si="22"/>
        <v/>
      </c>
      <c r="J211" s="13" t="str">
        <f t="shared" si="23"/>
        <v/>
      </c>
    </row>
    <row r="212" spans="1:10" ht="23.1" customHeight="1">
      <c r="A212" s="1" t="str">
        <f>IF(COUNTA(B212:C212)=0,"",204)</f>
        <v/>
      </c>
      <c r="B212" s="8"/>
      <c r="C212" s="9"/>
      <c r="D212" s="10" t="str">
        <f t="shared" si="18"/>
        <v/>
      </c>
      <c r="E212" s="1"/>
      <c r="F212" s="11" t="str">
        <f t="shared" si="19"/>
        <v/>
      </c>
      <c r="G212" s="11" t="str">
        <f t="shared" si="20"/>
        <v/>
      </c>
      <c r="H212" s="11" t="str">
        <f t="shared" si="21"/>
        <v/>
      </c>
      <c r="I212" s="12" t="str">
        <f t="shared" si="22"/>
        <v/>
      </c>
      <c r="J212" s="13" t="str">
        <f t="shared" si="23"/>
        <v/>
      </c>
    </row>
    <row r="213" spans="1:10" ht="23.1" customHeight="1">
      <c r="A213" s="1" t="str">
        <f>IF(COUNTA(B213:C213)=0,"",205)</f>
        <v/>
      </c>
      <c r="B213" s="8"/>
      <c r="C213" s="9"/>
      <c r="D213" s="10" t="str">
        <f t="shared" si="18"/>
        <v/>
      </c>
      <c r="E213" s="1"/>
      <c r="F213" s="11" t="str">
        <f t="shared" si="19"/>
        <v/>
      </c>
      <c r="G213" s="11" t="str">
        <f t="shared" si="20"/>
        <v/>
      </c>
      <c r="H213" s="11" t="str">
        <f t="shared" si="21"/>
        <v/>
      </c>
      <c r="I213" s="12" t="str">
        <f t="shared" si="22"/>
        <v/>
      </c>
      <c r="J213" s="13" t="str">
        <f t="shared" si="23"/>
        <v/>
      </c>
    </row>
    <row r="214" spans="1:10" ht="23.1" customHeight="1">
      <c r="A214" s="1" t="str">
        <f>IF(COUNTA(B214:C214)=0,"",206)</f>
        <v/>
      </c>
      <c r="B214" s="8"/>
      <c r="C214" s="9"/>
      <c r="D214" s="10" t="str">
        <f t="shared" si="18"/>
        <v/>
      </c>
      <c r="E214" s="1"/>
      <c r="F214" s="11" t="str">
        <f t="shared" si="19"/>
        <v/>
      </c>
      <c r="G214" s="11" t="str">
        <f t="shared" si="20"/>
        <v/>
      </c>
      <c r="H214" s="11" t="str">
        <f t="shared" si="21"/>
        <v/>
      </c>
      <c r="I214" s="12" t="str">
        <f t="shared" si="22"/>
        <v/>
      </c>
      <c r="J214" s="13" t="str">
        <f t="shared" si="23"/>
        <v/>
      </c>
    </row>
    <row r="215" spans="1:10" ht="23.1" customHeight="1">
      <c r="A215" s="1" t="str">
        <f>IF(COUNTA(B215:C215)=0,"",207)</f>
        <v/>
      </c>
      <c r="B215" s="8"/>
      <c r="C215" s="9"/>
      <c r="D215" s="10" t="str">
        <f t="shared" si="18"/>
        <v/>
      </c>
      <c r="E215" s="1"/>
      <c r="F215" s="11" t="str">
        <f t="shared" si="19"/>
        <v/>
      </c>
      <c r="G215" s="11" t="str">
        <f t="shared" si="20"/>
        <v/>
      </c>
      <c r="H215" s="11" t="str">
        <f t="shared" si="21"/>
        <v/>
      </c>
      <c r="I215" s="12" t="str">
        <f t="shared" si="22"/>
        <v/>
      </c>
      <c r="J215" s="13" t="str">
        <f t="shared" si="23"/>
        <v/>
      </c>
    </row>
    <row r="216" spans="1:10" ht="23.1" customHeight="1">
      <c r="A216" s="1" t="str">
        <f>IF(COUNTA(B216:C216)=0,"",208)</f>
        <v/>
      </c>
      <c r="B216" s="8"/>
      <c r="C216" s="9"/>
      <c r="D216" s="10" t="str">
        <f t="shared" si="18"/>
        <v/>
      </c>
      <c r="E216" s="1"/>
      <c r="F216" s="11" t="str">
        <f t="shared" si="19"/>
        <v/>
      </c>
      <c r="G216" s="11" t="str">
        <f t="shared" si="20"/>
        <v/>
      </c>
      <c r="H216" s="11" t="str">
        <f t="shared" si="21"/>
        <v/>
      </c>
      <c r="I216" s="12" t="str">
        <f t="shared" si="22"/>
        <v/>
      </c>
      <c r="J216" s="13" t="str">
        <f t="shared" si="23"/>
        <v/>
      </c>
    </row>
    <row r="217" spans="1:10" ht="23.1" customHeight="1">
      <c r="A217" s="1" t="str">
        <f>IF(COUNTA(B217:C217)=0,"",209)</f>
        <v/>
      </c>
      <c r="B217" s="8"/>
      <c r="C217" s="9"/>
      <c r="D217" s="10" t="str">
        <f t="shared" si="18"/>
        <v/>
      </c>
      <c r="E217" s="1"/>
      <c r="F217" s="11" t="str">
        <f t="shared" si="19"/>
        <v/>
      </c>
      <c r="G217" s="11" t="str">
        <f t="shared" si="20"/>
        <v/>
      </c>
      <c r="H217" s="11" t="str">
        <f t="shared" si="21"/>
        <v/>
      </c>
      <c r="I217" s="12" t="str">
        <f t="shared" si="22"/>
        <v/>
      </c>
      <c r="J217" s="13" t="str">
        <f t="shared" si="23"/>
        <v/>
      </c>
    </row>
    <row r="218" spans="1:10" ht="23.1" customHeight="1">
      <c r="A218" s="1" t="str">
        <f>IF(COUNTA(B218:C218)=0,"",210)</f>
        <v/>
      </c>
      <c r="B218" s="8"/>
      <c r="C218" s="9"/>
      <c r="D218" s="10" t="str">
        <f t="shared" si="18"/>
        <v/>
      </c>
      <c r="E218" s="1"/>
      <c r="F218" s="11" t="str">
        <f t="shared" si="19"/>
        <v/>
      </c>
      <c r="G218" s="11" t="str">
        <f t="shared" si="20"/>
        <v/>
      </c>
      <c r="H218" s="11" t="str">
        <f t="shared" si="21"/>
        <v/>
      </c>
      <c r="I218" s="12" t="str">
        <f t="shared" si="22"/>
        <v/>
      </c>
      <c r="J218" s="13" t="str">
        <f t="shared" si="23"/>
        <v/>
      </c>
    </row>
    <row r="219" spans="1:10" ht="23.1" customHeight="1">
      <c r="A219" s="1" t="str">
        <f>IF(COUNTA(B219:C219)=0,"",211)</f>
        <v/>
      </c>
      <c r="B219" s="8"/>
      <c r="C219" s="9"/>
      <c r="D219" s="10" t="str">
        <f t="shared" si="18"/>
        <v/>
      </c>
      <c r="E219" s="1"/>
      <c r="F219" s="11" t="str">
        <f t="shared" si="19"/>
        <v/>
      </c>
      <c r="G219" s="11" t="str">
        <f t="shared" si="20"/>
        <v/>
      </c>
      <c r="H219" s="11" t="str">
        <f t="shared" si="21"/>
        <v/>
      </c>
      <c r="I219" s="12" t="str">
        <f t="shared" si="22"/>
        <v/>
      </c>
      <c r="J219" s="13" t="str">
        <f t="shared" si="23"/>
        <v/>
      </c>
    </row>
    <row r="220" spans="1:10" ht="23.1" customHeight="1">
      <c r="A220" s="1" t="str">
        <f>IF(COUNTA(B220:C220)=0,"",212)</f>
        <v/>
      </c>
      <c r="B220" s="8"/>
      <c r="C220" s="9"/>
      <c r="D220" s="10" t="str">
        <f t="shared" si="18"/>
        <v/>
      </c>
      <c r="E220" s="1"/>
      <c r="F220" s="11" t="str">
        <f t="shared" si="19"/>
        <v/>
      </c>
      <c r="G220" s="11" t="str">
        <f t="shared" si="20"/>
        <v/>
      </c>
      <c r="H220" s="11" t="str">
        <f t="shared" si="21"/>
        <v/>
      </c>
      <c r="I220" s="12" t="str">
        <f t="shared" si="22"/>
        <v/>
      </c>
      <c r="J220" s="13" t="str">
        <f t="shared" si="23"/>
        <v/>
      </c>
    </row>
    <row r="221" spans="1:10" ht="23.1" customHeight="1">
      <c r="A221" s="1" t="str">
        <f>IF(COUNTA(B221:C221)=0,"",213)</f>
        <v/>
      </c>
      <c r="B221" s="8"/>
      <c r="C221" s="9"/>
      <c r="D221" s="10" t="str">
        <f t="shared" si="18"/>
        <v/>
      </c>
      <c r="E221" s="1"/>
      <c r="F221" s="11" t="str">
        <f t="shared" si="19"/>
        <v/>
      </c>
      <c r="G221" s="11" t="str">
        <f t="shared" si="20"/>
        <v/>
      </c>
      <c r="H221" s="11" t="str">
        <f t="shared" si="21"/>
        <v/>
      </c>
      <c r="I221" s="12" t="str">
        <f t="shared" si="22"/>
        <v/>
      </c>
      <c r="J221" s="13" t="str">
        <f t="shared" si="23"/>
        <v/>
      </c>
    </row>
    <row r="222" spans="1:10" ht="23.1" customHeight="1">
      <c r="A222" s="1" t="str">
        <f>IF(COUNTA(B222:C222)=0,"",214)</f>
        <v/>
      </c>
      <c r="B222" s="8"/>
      <c r="C222" s="9"/>
      <c r="D222" s="10" t="str">
        <f t="shared" si="18"/>
        <v/>
      </c>
      <c r="E222" s="1"/>
      <c r="F222" s="11" t="str">
        <f t="shared" si="19"/>
        <v/>
      </c>
      <c r="G222" s="11" t="str">
        <f t="shared" si="20"/>
        <v/>
      </c>
      <c r="H222" s="11" t="str">
        <f t="shared" si="21"/>
        <v/>
      </c>
      <c r="I222" s="12" t="str">
        <f t="shared" si="22"/>
        <v/>
      </c>
      <c r="J222" s="13" t="str">
        <f t="shared" si="23"/>
        <v/>
      </c>
    </row>
    <row r="223" spans="1:10" ht="23.1" customHeight="1">
      <c r="A223" s="1" t="str">
        <f>IF(COUNTA(B223:C223)=0,"",215)</f>
        <v/>
      </c>
      <c r="B223" s="8"/>
      <c r="C223" s="9"/>
      <c r="D223" s="10" t="str">
        <f t="shared" si="18"/>
        <v/>
      </c>
      <c r="E223" s="1"/>
      <c r="F223" s="11" t="str">
        <f t="shared" si="19"/>
        <v/>
      </c>
      <c r="G223" s="11" t="str">
        <f t="shared" si="20"/>
        <v/>
      </c>
      <c r="H223" s="11" t="str">
        <f t="shared" si="21"/>
        <v/>
      </c>
      <c r="I223" s="12" t="str">
        <f t="shared" si="22"/>
        <v/>
      </c>
      <c r="J223" s="13" t="str">
        <f t="shared" si="23"/>
        <v/>
      </c>
    </row>
    <row r="224" spans="1:10" ht="23.1" customHeight="1">
      <c r="A224" s="1" t="str">
        <f>IF(COUNTA(B224:C224)=0,"",216)</f>
        <v/>
      </c>
      <c r="B224" s="8"/>
      <c r="C224" s="9"/>
      <c r="D224" s="10" t="str">
        <f t="shared" si="18"/>
        <v/>
      </c>
      <c r="E224" s="1"/>
      <c r="F224" s="11" t="str">
        <f t="shared" si="19"/>
        <v/>
      </c>
      <c r="G224" s="11" t="str">
        <f t="shared" si="20"/>
        <v/>
      </c>
      <c r="H224" s="11" t="str">
        <f t="shared" si="21"/>
        <v/>
      </c>
      <c r="I224" s="12" t="str">
        <f t="shared" si="22"/>
        <v/>
      </c>
      <c r="J224" s="13" t="str">
        <f t="shared" si="23"/>
        <v/>
      </c>
    </row>
    <row r="225" spans="1:10" ht="23.1" customHeight="1">
      <c r="A225" s="1" t="str">
        <f>IF(COUNTA(B225:C225)=0,"",217)</f>
        <v/>
      </c>
      <c r="B225" s="8"/>
      <c r="C225" s="9"/>
      <c r="D225" s="10" t="str">
        <f t="shared" si="18"/>
        <v/>
      </c>
      <c r="E225" s="1"/>
      <c r="F225" s="11" t="str">
        <f t="shared" si="19"/>
        <v/>
      </c>
      <c r="G225" s="11" t="str">
        <f t="shared" si="20"/>
        <v/>
      </c>
      <c r="H225" s="11" t="str">
        <f t="shared" si="21"/>
        <v/>
      </c>
      <c r="I225" s="12" t="str">
        <f t="shared" si="22"/>
        <v/>
      </c>
      <c r="J225" s="13" t="str">
        <f t="shared" si="23"/>
        <v/>
      </c>
    </row>
    <row r="226" spans="1:10" ht="23.1" customHeight="1">
      <c r="A226" s="1" t="str">
        <f>IF(COUNTA(B226:C226)=0,"",218)</f>
        <v/>
      </c>
      <c r="B226" s="8"/>
      <c r="C226" s="9"/>
      <c r="D226" s="10" t="str">
        <f t="shared" si="18"/>
        <v/>
      </c>
      <c r="E226" s="1"/>
      <c r="F226" s="11" t="str">
        <f t="shared" si="19"/>
        <v/>
      </c>
      <c r="G226" s="11" t="str">
        <f t="shared" si="20"/>
        <v/>
      </c>
      <c r="H226" s="11" t="str">
        <f t="shared" si="21"/>
        <v/>
      </c>
      <c r="I226" s="12" t="str">
        <f t="shared" si="22"/>
        <v/>
      </c>
      <c r="J226" s="13" t="str">
        <f t="shared" si="23"/>
        <v/>
      </c>
    </row>
    <row r="227" spans="1:10" ht="23.1" customHeight="1">
      <c r="A227" s="1" t="str">
        <f>IF(COUNTA(B227:C227)=0,"",219)</f>
        <v/>
      </c>
      <c r="B227" s="8"/>
      <c r="C227" s="9"/>
      <c r="D227" s="10" t="str">
        <f t="shared" si="18"/>
        <v/>
      </c>
      <c r="E227" s="1"/>
      <c r="F227" s="11" t="str">
        <f t="shared" si="19"/>
        <v/>
      </c>
      <c r="G227" s="11" t="str">
        <f t="shared" si="20"/>
        <v/>
      </c>
      <c r="H227" s="11" t="str">
        <f t="shared" si="21"/>
        <v/>
      </c>
      <c r="I227" s="12" t="str">
        <f t="shared" si="22"/>
        <v/>
      </c>
      <c r="J227" s="13" t="str">
        <f t="shared" si="23"/>
        <v/>
      </c>
    </row>
    <row r="228" spans="1:10" ht="23.1" customHeight="1">
      <c r="A228" s="1" t="str">
        <f>IF(COUNTA(B228:C228)=0,"",220)</f>
        <v/>
      </c>
      <c r="B228" s="8"/>
      <c r="C228" s="9"/>
      <c r="D228" s="10" t="str">
        <f t="shared" si="18"/>
        <v/>
      </c>
      <c r="E228" s="1"/>
      <c r="F228" s="11" t="str">
        <f t="shared" si="19"/>
        <v/>
      </c>
      <c r="G228" s="11" t="str">
        <f t="shared" si="20"/>
        <v/>
      </c>
      <c r="H228" s="11" t="str">
        <f t="shared" si="21"/>
        <v/>
      </c>
      <c r="I228" s="12" t="str">
        <f t="shared" si="22"/>
        <v/>
      </c>
      <c r="J228" s="13" t="str">
        <f t="shared" si="23"/>
        <v/>
      </c>
    </row>
    <row r="229" spans="1:10" ht="23.1" customHeight="1">
      <c r="A229" s="1" t="str">
        <f>IF(COUNTA(B229:C229)=0,"",221)</f>
        <v/>
      </c>
      <c r="B229" s="8"/>
      <c r="C229" s="9"/>
      <c r="D229" s="10" t="str">
        <f t="shared" si="18"/>
        <v/>
      </c>
      <c r="E229" s="1"/>
      <c r="F229" s="11" t="str">
        <f t="shared" si="19"/>
        <v/>
      </c>
      <c r="G229" s="11" t="str">
        <f t="shared" si="20"/>
        <v/>
      </c>
      <c r="H229" s="11" t="str">
        <f t="shared" si="21"/>
        <v/>
      </c>
      <c r="I229" s="12" t="str">
        <f t="shared" si="22"/>
        <v/>
      </c>
      <c r="J229" s="13" t="str">
        <f t="shared" si="23"/>
        <v/>
      </c>
    </row>
    <row r="230" spans="1:10" ht="23.1" customHeight="1">
      <c r="A230" s="1" t="str">
        <f>IF(COUNTA(B230:C230)=0,"",222)</f>
        <v/>
      </c>
      <c r="B230" s="8"/>
      <c r="C230" s="9"/>
      <c r="D230" s="10" t="str">
        <f t="shared" si="18"/>
        <v/>
      </c>
      <c r="E230" s="1"/>
      <c r="F230" s="11" t="str">
        <f t="shared" si="19"/>
        <v/>
      </c>
      <c r="G230" s="11" t="str">
        <f t="shared" si="20"/>
        <v/>
      </c>
      <c r="H230" s="11" t="str">
        <f t="shared" si="21"/>
        <v/>
      </c>
      <c r="I230" s="12" t="str">
        <f t="shared" si="22"/>
        <v/>
      </c>
      <c r="J230" s="13" t="str">
        <f t="shared" si="23"/>
        <v/>
      </c>
    </row>
    <row r="231" spans="1:10" ht="23.1" customHeight="1">
      <c r="A231" s="1" t="str">
        <f>IF(COUNTA(B231:C231)=0,"",223)</f>
        <v/>
      </c>
      <c r="B231" s="8"/>
      <c r="C231" s="9"/>
      <c r="D231" s="10" t="str">
        <f t="shared" si="18"/>
        <v/>
      </c>
      <c r="E231" s="1"/>
      <c r="F231" s="11" t="str">
        <f t="shared" si="19"/>
        <v/>
      </c>
      <c r="G231" s="11" t="str">
        <f t="shared" si="20"/>
        <v/>
      </c>
      <c r="H231" s="11" t="str">
        <f t="shared" si="21"/>
        <v/>
      </c>
      <c r="I231" s="12" t="str">
        <f t="shared" si="22"/>
        <v/>
      </c>
      <c r="J231" s="13" t="str">
        <f t="shared" si="23"/>
        <v/>
      </c>
    </row>
    <row r="232" spans="1:10" ht="23.1" customHeight="1">
      <c r="A232" s="1" t="str">
        <f>IF(COUNTA(B232:C232)=0,"",224)</f>
        <v/>
      </c>
      <c r="B232" s="8"/>
      <c r="C232" s="9"/>
      <c r="D232" s="10" t="str">
        <f t="shared" si="18"/>
        <v/>
      </c>
      <c r="E232" s="1"/>
      <c r="F232" s="11" t="str">
        <f t="shared" si="19"/>
        <v/>
      </c>
      <c r="G232" s="11" t="str">
        <f t="shared" si="20"/>
        <v/>
      </c>
      <c r="H232" s="11" t="str">
        <f t="shared" si="21"/>
        <v/>
      </c>
      <c r="I232" s="12" t="str">
        <f t="shared" si="22"/>
        <v/>
      </c>
      <c r="J232" s="13" t="str">
        <f t="shared" si="23"/>
        <v/>
      </c>
    </row>
    <row r="233" spans="1:10" ht="23.1" customHeight="1">
      <c r="A233" s="1" t="str">
        <f>IF(COUNTA(B233:C233)=0,"",225)</f>
        <v/>
      </c>
      <c r="B233" s="8"/>
      <c r="C233" s="9"/>
      <c r="D233" s="10" t="str">
        <f t="shared" si="18"/>
        <v/>
      </c>
      <c r="E233" s="1"/>
      <c r="F233" s="11" t="str">
        <f t="shared" si="19"/>
        <v/>
      </c>
      <c r="G233" s="11" t="str">
        <f t="shared" si="20"/>
        <v/>
      </c>
      <c r="H233" s="11" t="str">
        <f t="shared" si="21"/>
        <v/>
      </c>
      <c r="I233" s="12" t="str">
        <f t="shared" si="22"/>
        <v/>
      </c>
      <c r="J233" s="13" t="str">
        <f t="shared" si="23"/>
        <v/>
      </c>
    </row>
    <row r="234" spans="1:10" ht="23.1" customHeight="1">
      <c r="A234" s="1" t="str">
        <f>IF(COUNTA(B234:C234)=0,"",226)</f>
        <v/>
      </c>
      <c r="B234" s="8"/>
      <c r="C234" s="9"/>
      <c r="D234" s="10" t="str">
        <f t="shared" si="18"/>
        <v/>
      </c>
      <c r="E234" s="1"/>
      <c r="F234" s="11" t="str">
        <f t="shared" si="19"/>
        <v/>
      </c>
      <c r="G234" s="11" t="str">
        <f t="shared" si="20"/>
        <v/>
      </c>
      <c r="H234" s="11" t="str">
        <f t="shared" si="21"/>
        <v/>
      </c>
      <c r="I234" s="12" t="str">
        <f t="shared" si="22"/>
        <v/>
      </c>
      <c r="J234" s="13" t="str">
        <f t="shared" si="23"/>
        <v/>
      </c>
    </row>
    <row r="235" spans="1:10" ht="23.1" customHeight="1">
      <c r="A235" s="1" t="str">
        <f>IF(COUNTA(B235:C235)=0,"",227)</f>
        <v/>
      </c>
      <c r="B235" s="8"/>
      <c r="C235" s="9"/>
      <c r="D235" s="10" t="str">
        <f t="shared" si="18"/>
        <v/>
      </c>
      <c r="E235" s="1"/>
      <c r="F235" s="11" t="str">
        <f t="shared" si="19"/>
        <v/>
      </c>
      <c r="G235" s="11" t="str">
        <f t="shared" si="20"/>
        <v/>
      </c>
      <c r="H235" s="11" t="str">
        <f t="shared" si="21"/>
        <v/>
      </c>
      <c r="I235" s="12" t="str">
        <f t="shared" si="22"/>
        <v/>
      </c>
      <c r="J235" s="13" t="str">
        <f t="shared" si="23"/>
        <v/>
      </c>
    </row>
    <row r="236" spans="1:10" ht="23.1" customHeight="1">
      <c r="A236" s="1" t="str">
        <f>IF(COUNTA(B236:C236)=0,"",228)</f>
        <v/>
      </c>
      <c r="B236" s="8"/>
      <c r="C236" s="9"/>
      <c r="D236" s="10" t="str">
        <f t="shared" si="18"/>
        <v/>
      </c>
      <c r="E236" s="1"/>
      <c r="F236" s="11" t="str">
        <f t="shared" si="19"/>
        <v/>
      </c>
      <c r="G236" s="11" t="str">
        <f t="shared" si="20"/>
        <v/>
      </c>
      <c r="H236" s="11" t="str">
        <f t="shared" si="21"/>
        <v/>
      </c>
      <c r="I236" s="12" t="str">
        <f t="shared" si="22"/>
        <v/>
      </c>
      <c r="J236" s="13" t="str">
        <f t="shared" si="23"/>
        <v/>
      </c>
    </row>
    <row r="237" spans="1:10" ht="23.1" customHeight="1">
      <c r="A237" s="1" t="str">
        <f>IF(COUNTA(B237:C237)=0,"",229)</f>
        <v/>
      </c>
      <c r="B237" s="8"/>
      <c r="C237" s="9"/>
      <c r="D237" s="10" t="str">
        <f t="shared" si="18"/>
        <v/>
      </c>
      <c r="E237" s="1"/>
      <c r="F237" s="11" t="str">
        <f t="shared" si="19"/>
        <v/>
      </c>
      <c r="G237" s="11" t="str">
        <f t="shared" si="20"/>
        <v/>
      </c>
      <c r="H237" s="11" t="str">
        <f t="shared" si="21"/>
        <v/>
      </c>
      <c r="I237" s="12" t="str">
        <f t="shared" si="22"/>
        <v/>
      </c>
      <c r="J237" s="13" t="str">
        <f t="shared" si="23"/>
        <v/>
      </c>
    </row>
    <row r="238" spans="1:10" ht="23.1" customHeight="1">
      <c r="A238" s="1" t="str">
        <f>IF(COUNTA(B238:C238)=0,"",230)</f>
        <v/>
      </c>
      <c r="B238" s="8"/>
      <c r="C238" s="9"/>
      <c r="D238" s="10" t="str">
        <f t="shared" si="18"/>
        <v/>
      </c>
      <c r="E238" s="1"/>
      <c r="F238" s="11" t="str">
        <f t="shared" si="19"/>
        <v/>
      </c>
      <c r="G238" s="11" t="str">
        <f t="shared" si="20"/>
        <v/>
      </c>
      <c r="H238" s="11" t="str">
        <f t="shared" si="21"/>
        <v/>
      </c>
      <c r="I238" s="12" t="str">
        <f t="shared" si="22"/>
        <v/>
      </c>
      <c r="J238" s="13" t="str">
        <f t="shared" si="23"/>
        <v/>
      </c>
    </row>
    <row r="239" spans="1:10" ht="23.1" customHeight="1">
      <c r="A239" s="1" t="str">
        <f>IF(COUNTA(B239:C239)=0,"",231)</f>
        <v/>
      </c>
      <c r="B239" s="8"/>
      <c r="C239" s="9"/>
      <c r="D239" s="10" t="str">
        <f t="shared" si="18"/>
        <v/>
      </c>
      <c r="E239" s="1"/>
      <c r="F239" s="11" t="str">
        <f t="shared" si="19"/>
        <v/>
      </c>
      <c r="G239" s="11" t="str">
        <f t="shared" si="20"/>
        <v/>
      </c>
      <c r="H239" s="11" t="str">
        <f t="shared" si="21"/>
        <v/>
      </c>
      <c r="I239" s="12" t="str">
        <f t="shared" si="22"/>
        <v/>
      </c>
      <c r="J239" s="13" t="str">
        <f t="shared" si="23"/>
        <v/>
      </c>
    </row>
    <row r="240" spans="1:10" ht="23.1" customHeight="1">
      <c r="A240" s="1" t="str">
        <f>IF(COUNTA(B240:C240)=0,"",232)</f>
        <v/>
      </c>
      <c r="B240" s="8"/>
      <c r="C240" s="9"/>
      <c r="D240" s="10" t="str">
        <f t="shared" si="18"/>
        <v/>
      </c>
      <c r="E240" s="1"/>
      <c r="F240" s="11" t="str">
        <f t="shared" si="19"/>
        <v/>
      </c>
      <c r="G240" s="11" t="str">
        <f t="shared" si="20"/>
        <v/>
      </c>
      <c r="H240" s="11" t="str">
        <f t="shared" si="21"/>
        <v/>
      </c>
      <c r="I240" s="12" t="str">
        <f t="shared" si="22"/>
        <v/>
      </c>
      <c r="J240" s="13" t="str">
        <f t="shared" si="23"/>
        <v/>
      </c>
    </row>
    <row r="241" spans="1:10" ht="23.1" customHeight="1">
      <c r="A241" s="1" t="str">
        <f>IF(COUNTA(B241:C241)=0,"",233)</f>
        <v/>
      </c>
      <c r="B241" s="8"/>
      <c r="C241" s="9"/>
      <c r="D241" s="10" t="str">
        <f t="shared" si="18"/>
        <v/>
      </c>
      <c r="E241" s="1"/>
      <c r="F241" s="11" t="str">
        <f t="shared" si="19"/>
        <v/>
      </c>
      <c r="G241" s="11" t="str">
        <f t="shared" si="20"/>
        <v/>
      </c>
      <c r="H241" s="11" t="str">
        <f t="shared" si="21"/>
        <v/>
      </c>
      <c r="I241" s="12" t="str">
        <f t="shared" si="22"/>
        <v/>
      </c>
      <c r="J241" s="13" t="str">
        <f t="shared" si="23"/>
        <v/>
      </c>
    </row>
    <row r="242" spans="1:10" ht="23.1" customHeight="1">
      <c r="A242" s="1" t="str">
        <f>IF(COUNTA(B242:C242)=0,"",234)</f>
        <v/>
      </c>
      <c r="B242" s="8"/>
      <c r="C242" s="9"/>
      <c r="D242" s="10" t="str">
        <f t="shared" si="18"/>
        <v/>
      </c>
      <c r="E242" s="1"/>
      <c r="F242" s="11" t="str">
        <f t="shared" si="19"/>
        <v/>
      </c>
      <c r="G242" s="11" t="str">
        <f t="shared" si="20"/>
        <v/>
      </c>
      <c r="H242" s="11" t="str">
        <f t="shared" si="21"/>
        <v/>
      </c>
      <c r="I242" s="12" t="str">
        <f t="shared" si="22"/>
        <v/>
      </c>
      <c r="J242" s="13" t="str">
        <f t="shared" si="23"/>
        <v/>
      </c>
    </row>
    <row r="243" spans="1:10" ht="23.1" customHeight="1">
      <c r="A243" s="1" t="str">
        <f>IF(COUNTA(B243:C243)=0,"",235)</f>
        <v/>
      </c>
      <c r="B243" s="8"/>
      <c r="C243" s="9"/>
      <c r="D243" s="10" t="str">
        <f t="shared" si="18"/>
        <v/>
      </c>
      <c r="E243" s="1"/>
      <c r="F243" s="11" t="str">
        <f t="shared" si="19"/>
        <v/>
      </c>
      <c r="G243" s="11" t="str">
        <f t="shared" si="20"/>
        <v/>
      </c>
      <c r="H243" s="11" t="str">
        <f t="shared" si="21"/>
        <v/>
      </c>
      <c r="I243" s="12" t="str">
        <f t="shared" si="22"/>
        <v/>
      </c>
      <c r="J243" s="13" t="str">
        <f t="shared" si="23"/>
        <v/>
      </c>
    </row>
    <row r="244" spans="1:10" ht="23.1" customHeight="1">
      <c r="A244" s="1" t="str">
        <f>IF(COUNTA(B244:C244)=0,"",236)</f>
        <v/>
      </c>
      <c r="B244" s="8"/>
      <c r="C244" s="9"/>
      <c r="D244" s="10" t="str">
        <f t="shared" si="18"/>
        <v/>
      </c>
      <c r="E244" s="1"/>
      <c r="F244" s="11" t="str">
        <f t="shared" si="19"/>
        <v/>
      </c>
      <c r="G244" s="11" t="str">
        <f t="shared" si="20"/>
        <v/>
      </c>
      <c r="H244" s="11" t="str">
        <f t="shared" si="21"/>
        <v/>
      </c>
      <c r="I244" s="12" t="str">
        <f t="shared" si="22"/>
        <v/>
      </c>
      <c r="J244" s="13" t="str">
        <f t="shared" si="23"/>
        <v/>
      </c>
    </row>
    <row r="245" spans="1:10" ht="23.1" customHeight="1">
      <c r="A245" s="1" t="str">
        <f>IF(COUNTA(B245:C245)=0,"",237)</f>
        <v/>
      </c>
      <c r="B245" s="8"/>
      <c r="C245" s="9"/>
      <c r="D245" s="10" t="str">
        <f t="shared" si="18"/>
        <v/>
      </c>
      <c r="E245" s="1"/>
      <c r="F245" s="11" t="str">
        <f t="shared" si="19"/>
        <v/>
      </c>
      <c r="G245" s="11" t="str">
        <f t="shared" si="20"/>
        <v/>
      </c>
      <c r="H245" s="11" t="str">
        <f t="shared" si="21"/>
        <v/>
      </c>
      <c r="I245" s="12" t="str">
        <f t="shared" si="22"/>
        <v/>
      </c>
      <c r="J245" s="13" t="str">
        <f t="shared" si="23"/>
        <v/>
      </c>
    </row>
    <row r="246" spans="1:10" ht="23.1" customHeight="1">
      <c r="A246" s="1" t="str">
        <f>IF(COUNTA(B246:C246)=0,"",238)</f>
        <v/>
      </c>
      <c r="B246" s="8"/>
      <c r="C246" s="9"/>
      <c r="D246" s="10" t="str">
        <f t="shared" si="18"/>
        <v/>
      </c>
      <c r="E246" s="1"/>
      <c r="F246" s="11" t="str">
        <f t="shared" si="19"/>
        <v/>
      </c>
      <c r="G246" s="11" t="str">
        <f t="shared" si="20"/>
        <v/>
      </c>
      <c r="H246" s="11" t="str">
        <f t="shared" si="21"/>
        <v/>
      </c>
      <c r="I246" s="12" t="str">
        <f t="shared" si="22"/>
        <v/>
      </c>
      <c r="J246" s="13" t="str">
        <f t="shared" si="23"/>
        <v/>
      </c>
    </row>
    <row r="247" spans="1:10" ht="23.1" customHeight="1">
      <c r="A247" s="1" t="str">
        <f>IF(COUNTA(B247:C247)=0,"",239)</f>
        <v/>
      </c>
      <c r="B247" s="8"/>
      <c r="C247" s="9"/>
      <c r="D247" s="10" t="str">
        <f t="shared" si="18"/>
        <v/>
      </c>
      <c r="E247" s="1"/>
      <c r="F247" s="11" t="str">
        <f t="shared" si="19"/>
        <v/>
      </c>
      <c r="G247" s="11" t="str">
        <f t="shared" si="20"/>
        <v/>
      </c>
      <c r="H247" s="11" t="str">
        <f t="shared" si="21"/>
        <v/>
      </c>
      <c r="I247" s="12" t="str">
        <f t="shared" si="22"/>
        <v/>
      </c>
      <c r="J247" s="13" t="str">
        <f t="shared" si="23"/>
        <v/>
      </c>
    </row>
    <row r="248" spans="1:10" ht="23.1" customHeight="1">
      <c r="A248" s="1" t="str">
        <f>IF(COUNTA(B248:C248)=0,"",240)</f>
        <v/>
      </c>
      <c r="B248" s="8"/>
      <c r="C248" s="9"/>
      <c r="D248" s="10" t="str">
        <f t="shared" si="18"/>
        <v/>
      </c>
      <c r="E248" s="1"/>
      <c r="F248" s="11" t="str">
        <f t="shared" si="19"/>
        <v/>
      </c>
      <c r="G248" s="11" t="str">
        <f t="shared" si="20"/>
        <v/>
      </c>
      <c r="H248" s="11" t="str">
        <f t="shared" si="21"/>
        <v/>
      </c>
      <c r="I248" s="12" t="str">
        <f t="shared" si="22"/>
        <v/>
      </c>
      <c r="J248" s="13" t="str">
        <f t="shared" si="23"/>
        <v/>
      </c>
    </row>
    <row r="249" spans="1:10" ht="23.1" customHeight="1">
      <c r="A249" s="1" t="str">
        <f>IF(COUNTA(B249:C249)=0,"",241)</f>
        <v/>
      </c>
      <c r="B249" s="8"/>
      <c r="C249" s="9"/>
      <c r="D249" s="10" t="str">
        <f t="shared" si="18"/>
        <v/>
      </c>
      <c r="E249" s="1"/>
      <c r="F249" s="11" t="str">
        <f t="shared" si="19"/>
        <v/>
      </c>
      <c r="G249" s="11" t="str">
        <f t="shared" si="20"/>
        <v/>
      </c>
      <c r="H249" s="11" t="str">
        <f t="shared" si="21"/>
        <v/>
      </c>
      <c r="I249" s="12" t="str">
        <f t="shared" si="22"/>
        <v/>
      </c>
      <c r="J249" s="13" t="str">
        <f t="shared" si="23"/>
        <v/>
      </c>
    </row>
    <row r="250" spans="1:10" ht="23.1" customHeight="1">
      <c r="A250" s="1" t="str">
        <f>IF(COUNTA(B250:C250)=0,"",242)</f>
        <v/>
      </c>
      <c r="B250" s="8"/>
      <c r="C250" s="9"/>
      <c r="D250" s="10" t="str">
        <f t="shared" si="18"/>
        <v/>
      </c>
      <c r="E250" s="1"/>
      <c r="F250" s="11" t="str">
        <f t="shared" si="19"/>
        <v/>
      </c>
      <c r="G250" s="11" t="str">
        <f t="shared" si="20"/>
        <v/>
      </c>
      <c r="H250" s="11" t="str">
        <f t="shared" si="21"/>
        <v/>
      </c>
      <c r="I250" s="12" t="str">
        <f t="shared" si="22"/>
        <v/>
      </c>
      <c r="J250" s="13" t="str">
        <f t="shared" si="23"/>
        <v/>
      </c>
    </row>
    <row r="251" spans="1:10" ht="23.1" customHeight="1">
      <c r="A251" s="1" t="str">
        <f>IF(COUNTA(B251:C251)=0,"",243)</f>
        <v/>
      </c>
      <c r="B251" s="8"/>
      <c r="C251" s="9"/>
      <c r="D251" s="10" t="str">
        <f t="shared" si="18"/>
        <v/>
      </c>
      <c r="E251" s="1"/>
      <c r="F251" s="11" t="str">
        <f t="shared" si="19"/>
        <v/>
      </c>
      <c r="G251" s="11" t="str">
        <f t="shared" si="20"/>
        <v/>
      </c>
      <c r="H251" s="11" t="str">
        <f t="shared" si="21"/>
        <v/>
      </c>
      <c r="I251" s="12" t="str">
        <f t="shared" si="22"/>
        <v/>
      </c>
      <c r="J251" s="13" t="str">
        <f t="shared" si="23"/>
        <v/>
      </c>
    </row>
    <row r="252" spans="1:10" ht="23.1" customHeight="1">
      <c r="A252" s="1" t="str">
        <f>IF(COUNTA(B252:C252)=0,"",244)</f>
        <v/>
      </c>
      <c r="B252" s="8"/>
      <c r="C252" s="9"/>
      <c r="D252" s="10" t="str">
        <f t="shared" si="18"/>
        <v/>
      </c>
      <c r="E252" s="1"/>
      <c r="F252" s="11" t="str">
        <f t="shared" si="19"/>
        <v/>
      </c>
      <c r="G252" s="11" t="str">
        <f t="shared" si="20"/>
        <v/>
      </c>
      <c r="H252" s="11" t="str">
        <f t="shared" si="21"/>
        <v/>
      </c>
      <c r="I252" s="12" t="str">
        <f t="shared" si="22"/>
        <v/>
      </c>
      <c r="J252" s="13" t="str">
        <f t="shared" si="23"/>
        <v/>
      </c>
    </row>
    <row r="253" spans="1:10" ht="23.1" customHeight="1">
      <c r="A253" s="1" t="str">
        <f>IF(COUNTA(B253:C253)=0,"",245)</f>
        <v/>
      </c>
      <c r="B253" s="8"/>
      <c r="C253" s="9"/>
      <c r="D253" s="10" t="str">
        <f t="shared" si="18"/>
        <v/>
      </c>
      <c r="E253" s="1"/>
      <c r="F253" s="11" t="str">
        <f t="shared" si="19"/>
        <v/>
      </c>
      <c r="G253" s="11" t="str">
        <f t="shared" si="20"/>
        <v/>
      </c>
      <c r="H253" s="11" t="str">
        <f t="shared" si="21"/>
        <v/>
      </c>
      <c r="I253" s="12" t="str">
        <f t="shared" si="22"/>
        <v/>
      </c>
      <c r="J253" s="13" t="str">
        <f t="shared" si="23"/>
        <v/>
      </c>
    </row>
    <row r="254" spans="1:10" ht="23.1" customHeight="1">
      <c r="A254" s="1" t="str">
        <f>IF(COUNTA(B254:C254)=0,"",246)</f>
        <v/>
      </c>
      <c r="B254" s="8"/>
      <c r="C254" s="9"/>
      <c r="D254" s="10" t="str">
        <f t="shared" si="18"/>
        <v/>
      </c>
      <c r="E254" s="1"/>
      <c r="F254" s="11" t="str">
        <f t="shared" si="19"/>
        <v/>
      </c>
      <c r="G254" s="11" t="str">
        <f t="shared" si="20"/>
        <v/>
      </c>
      <c r="H254" s="11" t="str">
        <f t="shared" si="21"/>
        <v/>
      </c>
      <c r="I254" s="12" t="str">
        <f t="shared" si="22"/>
        <v/>
      </c>
      <c r="J254" s="13" t="str">
        <f t="shared" si="23"/>
        <v/>
      </c>
    </row>
    <row r="255" spans="1:10" ht="23.1" customHeight="1">
      <c r="A255" s="1" t="str">
        <f>IF(COUNTA(B255:C255)=0,"",247)</f>
        <v/>
      </c>
      <c r="B255" s="8"/>
      <c r="C255" s="9"/>
      <c r="D255" s="10" t="str">
        <f t="shared" si="18"/>
        <v/>
      </c>
      <c r="E255" s="1"/>
      <c r="F255" s="11" t="str">
        <f t="shared" si="19"/>
        <v/>
      </c>
      <c r="G255" s="11" t="str">
        <f t="shared" si="20"/>
        <v/>
      </c>
      <c r="H255" s="11" t="str">
        <f t="shared" si="21"/>
        <v/>
      </c>
      <c r="I255" s="12" t="str">
        <f t="shared" si="22"/>
        <v/>
      </c>
      <c r="J255" s="13" t="str">
        <f t="shared" si="23"/>
        <v/>
      </c>
    </row>
    <row r="256" spans="1:10" ht="23.1" customHeight="1">
      <c r="A256" s="1" t="str">
        <f>IF(COUNTA(B256:C256)=0,"",248)</f>
        <v/>
      </c>
      <c r="B256" s="8"/>
      <c r="C256" s="9"/>
      <c r="D256" s="10" t="str">
        <f t="shared" si="18"/>
        <v/>
      </c>
      <c r="E256" s="1"/>
      <c r="F256" s="11" t="str">
        <f t="shared" si="19"/>
        <v/>
      </c>
      <c r="G256" s="11" t="str">
        <f t="shared" si="20"/>
        <v/>
      </c>
      <c r="H256" s="11" t="str">
        <f t="shared" si="21"/>
        <v/>
      </c>
      <c r="I256" s="12" t="str">
        <f t="shared" si="22"/>
        <v/>
      </c>
      <c r="J256" s="13" t="str">
        <f t="shared" si="23"/>
        <v/>
      </c>
    </row>
    <row r="257" spans="1:10" ht="23.1" customHeight="1">
      <c r="A257" s="1" t="str">
        <f>IF(COUNTA(B257:C257)=0,"",249)</f>
        <v/>
      </c>
      <c r="B257" s="8"/>
      <c r="C257" s="9"/>
      <c r="D257" s="10" t="str">
        <f t="shared" si="18"/>
        <v/>
      </c>
      <c r="E257" s="1"/>
      <c r="F257" s="11" t="str">
        <f t="shared" si="19"/>
        <v/>
      </c>
      <c r="G257" s="11" t="str">
        <f t="shared" si="20"/>
        <v/>
      </c>
      <c r="H257" s="11" t="str">
        <f t="shared" si="21"/>
        <v/>
      </c>
      <c r="I257" s="12" t="str">
        <f t="shared" si="22"/>
        <v/>
      </c>
      <c r="J257" s="13" t="str">
        <f t="shared" si="23"/>
        <v/>
      </c>
    </row>
    <row r="258" spans="1:10" ht="23.1" customHeight="1">
      <c r="A258" s="1" t="str">
        <f>IF(COUNTA(B258:C258)=0,"",250)</f>
        <v/>
      </c>
      <c r="B258" s="8"/>
      <c r="C258" s="9"/>
      <c r="D258" s="10" t="str">
        <f t="shared" si="18"/>
        <v/>
      </c>
      <c r="E258" s="1"/>
      <c r="F258" s="11" t="str">
        <f t="shared" si="19"/>
        <v/>
      </c>
      <c r="G258" s="11" t="str">
        <f t="shared" si="20"/>
        <v/>
      </c>
      <c r="H258" s="11" t="str">
        <f t="shared" si="21"/>
        <v/>
      </c>
      <c r="I258" s="12" t="str">
        <f t="shared" si="22"/>
        <v/>
      </c>
      <c r="J258" s="13" t="str">
        <f t="shared" si="23"/>
        <v/>
      </c>
    </row>
    <row r="259" spans="1:10" ht="23.1" customHeight="1">
      <c r="A259" s="1" t="str">
        <f>IF(COUNTA(B259:C259)=0,"",251)</f>
        <v/>
      </c>
      <c r="B259" s="8"/>
      <c r="C259" s="9"/>
      <c r="D259" s="10" t="str">
        <f t="shared" si="18"/>
        <v/>
      </c>
      <c r="E259" s="1"/>
      <c r="F259" s="11" t="str">
        <f t="shared" si="19"/>
        <v/>
      </c>
      <c r="G259" s="11" t="str">
        <f t="shared" si="20"/>
        <v/>
      </c>
      <c r="H259" s="11" t="str">
        <f t="shared" si="21"/>
        <v/>
      </c>
      <c r="I259" s="12" t="str">
        <f t="shared" si="22"/>
        <v/>
      </c>
      <c r="J259" s="13" t="str">
        <f t="shared" si="23"/>
        <v/>
      </c>
    </row>
    <row r="260" spans="1:10" ht="23.1" customHeight="1">
      <c r="A260" s="1" t="str">
        <f>IF(COUNTA(B260:C260)=0,"",252)</f>
        <v/>
      </c>
      <c r="B260" s="8"/>
      <c r="C260" s="9"/>
      <c r="D260" s="10" t="str">
        <f t="shared" si="18"/>
        <v/>
      </c>
      <c r="E260" s="1"/>
      <c r="F260" s="11" t="str">
        <f t="shared" si="19"/>
        <v/>
      </c>
      <c r="G260" s="11" t="str">
        <f t="shared" si="20"/>
        <v/>
      </c>
      <c r="H260" s="11" t="str">
        <f t="shared" si="21"/>
        <v/>
      </c>
      <c r="I260" s="12" t="str">
        <f t="shared" si="22"/>
        <v/>
      </c>
      <c r="J260" s="13" t="str">
        <f t="shared" si="23"/>
        <v/>
      </c>
    </row>
    <row r="261" spans="1:10" ht="23.1" customHeight="1">
      <c r="A261" s="1" t="str">
        <f>IF(COUNTA(B261:C261)=0,"",253)</f>
        <v/>
      </c>
      <c r="B261" s="8"/>
      <c r="C261" s="9"/>
      <c r="D261" s="10" t="str">
        <f t="shared" si="18"/>
        <v/>
      </c>
      <c r="E261" s="1"/>
      <c r="F261" s="11" t="str">
        <f t="shared" si="19"/>
        <v/>
      </c>
      <c r="G261" s="11" t="str">
        <f t="shared" si="20"/>
        <v/>
      </c>
      <c r="H261" s="11" t="str">
        <f t="shared" si="21"/>
        <v/>
      </c>
      <c r="I261" s="12" t="str">
        <f t="shared" si="22"/>
        <v/>
      </c>
      <c r="J261" s="13" t="str">
        <f t="shared" si="23"/>
        <v/>
      </c>
    </row>
    <row r="262" spans="1:10" ht="23.1" customHeight="1">
      <c r="A262" s="1" t="str">
        <f>IF(COUNTA(B262:C262)=0,"",254)</f>
        <v/>
      </c>
      <c r="B262" s="8"/>
      <c r="C262" s="9"/>
      <c r="D262" s="10" t="str">
        <f t="shared" si="18"/>
        <v/>
      </c>
      <c r="E262" s="1"/>
      <c r="F262" s="11" t="str">
        <f t="shared" si="19"/>
        <v/>
      </c>
      <c r="G262" s="11" t="str">
        <f t="shared" si="20"/>
        <v/>
      </c>
      <c r="H262" s="11" t="str">
        <f t="shared" si="21"/>
        <v/>
      </c>
      <c r="I262" s="12" t="str">
        <f t="shared" si="22"/>
        <v/>
      </c>
      <c r="J262" s="13" t="str">
        <f t="shared" si="23"/>
        <v/>
      </c>
    </row>
    <row r="263" spans="1:10" ht="23.1" customHeight="1">
      <c r="A263" s="1" t="str">
        <f>IF(COUNTA(B263:C263)=0,"",255)</f>
        <v/>
      </c>
      <c r="B263" s="8"/>
      <c r="C263" s="9"/>
      <c r="D263" s="10" t="str">
        <f t="shared" si="18"/>
        <v/>
      </c>
      <c r="E263" s="1"/>
      <c r="F263" s="11" t="str">
        <f t="shared" si="19"/>
        <v/>
      </c>
      <c r="G263" s="11" t="str">
        <f t="shared" si="20"/>
        <v/>
      </c>
      <c r="H263" s="11" t="str">
        <f t="shared" si="21"/>
        <v/>
      </c>
      <c r="I263" s="12" t="str">
        <f t="shared" si="22"/>
        <v/>
      </c>
      <c r="J263" s="13" t="str">
        <f t="shared" si="23"/>
        <v/>
      </c>
    </row>
    <row r="264" spans="1:10" ht="23.1" customHeight="1">
      <c r="A264" s="1" t="str">
        <f>IF(COUNTA(B264:C264)=0,"",256)</f>
        <v/>
      </c>
      <c r="B264" s="8"/>
      <c r="C264" s="9"/>
      <c r="D264" s="10" t="str">
        <f t="shared" si="18"/>
        <v/>
      </c>
      <c r="E264" s="1"/>
      <c r="F264" s="11" t="str">
        <f t="shared" si="19"/>
        <v/>
      </c>
      <c r="G264" s="11" t="str">
        <f t="shared" si="20"/>
        <v/>
      </c>
      <c r="H264" s="11" t="str">
        <f t="shared" si="21"/>
        <v/>
      </c>
      <c r="I264" s="12" t="str">
        <f t="shared" si="22"/>
        <v/>
      </c>
      <c r="J264" s="13" t="str">
        <f t="shared" si="23"/>
        <v/>
      </c>
    </row>
    <row r="265" spans="1:10" ht="23.1" customHeight="1">
      <c r="A265" s="1" t="str">
        <f>IF(COUNTA(B265:C265)=0,"",257)</f>
        <v/>
      </c>
      <c r="B265" s="8"/>
      <c r="C265" s="9"/>
      <c r="D265" s="10" t="str">
        <f t="shared" ref="D265:D328" si="24">IF(NOT(ISNUMBER(C265)),"",ROUND(C265*30%,2))</f>
        <v/>
      </c>
      <c r="E265" s="1"/>
      <c r="F265" s="11" t="str">
        <f t="shared" ref="F265:F328" si="25">IF(NOT(ISNUMBER(C265)),"",ROUND(H265*30%,2))</f>
        <v/>
      </c>
      <c r="G265" s="11" t="str">
        <f t="shared" ref="G265:G328" si="26">IF(NOT(ISNUMBER(C265)),"",ROUND(H265-F265,2))</f>
        <v/>
      </c>
      <c r="H265" s="11" t="str">
        <f t="shared" ref="H265:H328" si="27">IF(NOT(ISNUMBER(C265)),"",ROUND(C265-D265,2))</f>
        <v/>
      </c>
      <c r="I265" s="12" t="str">
        <f t="shared" ref="I265:I328" si="28">IF(NOT(ISNUMBER(C265)),"",ROUND(C265-SUM(D265,F265:G265),2))</f>
        <v/>
      </c>
      <c r="J265" s="13" t="str">
        <f t="shared" ref="J265:J328" si="29">IF(COUNTA(B265:C265)=0,"",IF(B265="","Falta apartamento",IF(NOT(ISNUMBER(C265)),"Falta valor","Completo")))</f>
        <v/>
      </c>
    </row>
    <row r="266" spans="1:10" ht="23.1" customHeight="1">
      <c r="A266" s="1" t="str">
        <f>IF(COUNTA(B266:C266)=0,"",258)</f>
        <v/>
      </c>
      <c r="B266" s="8"/>
      <c r="C266" s="9"/>
      <c r="D266" s="10" t="str">
        <f t="shared" si="24"/>
        <v/>
      </c>
      <c r="E266" s="1"/>
      <c r="F266" s="11" t="str">
        <f t="shared" si="25"/>
        <v/>
      </c>
      <c r="G266" s="11" t="str">
        <f t="shared" si="26"/>
        <v/>
      </c>
      <c r="H266" s="11" t="str">
        <f t="shared" si="27"/>
        <v/>
      </c>
      <c r="I266" s="12" t="str">
        <f t="shared" si="28"/>
        <v/>
      </c>
      <c r="J266" s="13" t="str">
        <f t="shared" si="29"/>
        <v/>
      </c>
    </row>
    <row r="267" spans="1:10" ht="23.1" customHeight="1">
      <c r="A267" s="1" t="str">
        <f>IF(COUNTA(B267:C267)=0,"",259)</f>
        <v/>
      </c>
      <c r="B267" s="8"/>
      <c r="C267" s="9"/>
      <c r="D267" s="10" t="str">
        <f t="shared" si="24"/>
        <v/>
      </c>
      <c r="E267" s="1"/>
      <c r="F267" s="11" t="str">
        <f t="shared" si="25"/>
        <v/>
      </c>
      <c r="G267" s="11" t="str">
        <f t="shared" si="26"/>
        <v/>
      </c>
      <c r="H267" s="11" t="str">
        <f t="shared" si="27"/>
        <v/>
      </c>
      <c r="I267" s="12" t="str">
        <f t="shared" si="28"/>
        <v/>
      </c>
      <c r="J267" s="13" t="str">
        <f t="shared" si="29"/>
        <v/>
      </c>
    </row>
    <row r="268" spans="1:10" ht="23.1" customHeight="1">
      <c r="A268" s="1" t="str">
        <f>IF(COUNTA(B268:C268)=0,"",260)</f>
        <v/>
      </c>
      <c r="B268" s="8"/>
      <c r="C268" s="9"/>
      <c r="D268" s="10" t="str">
        <f t="shared" si="24"/>
        <v/>
      </c>
      <c r="E268" s="1"/>
      <c r="F268" s="11" t="str">
        <f t="shared" si="25"/>
        <v/>
      </c>
      <c r="G268" s="11" t="str">
        <f t="shared" si="26"/>
        <v/>
      </c>
      <c r="H268" s="11" t="str">
        <f t="shared" si="27"/>
        <v/>
      </c>
      <c r="I268" s="12" t="str">
        <f t="shared" si="28"/>
        <v/>
      </c>
      <c r="J268" s="13" t="str">
        <f t="shared" si="29"/>
        <v/>
      </c>
    </row>
    <row r="269" spans="1:10" ht="23.1" customHeight="1">
      <c r="A269" s="1" t="str">
        <f>IF(COUNTA(B269:C269)=0,"",261)</f>
        <v/>
      </c>
      <c r="B269" s="8"/>
      <c r="C269" s="9"/>
      <c r="D269" s="10" t="str">
        <f t="shared" si="24"/>
        <v/>
      </c>
      <c r="E269" s="1"/>
      <c r="F269" s="11" t="str">
        <f t="shared" si="25"/>
        <v/>
      </c>
      <c r="G269" s="11" t="str">
        <f t="shared" si="26"/>
        <v/>
      </c>
      <c r="H269" s="11" t="str">
        <f t="shared" si="27"/>
        <v/>
      </c>
      <c r="I269" s="12" t="str">
        <f t="shared" si="28"/>
        <v/>
      </c>
      <c r="J269" s="13" t="str">
        <f t="shared" si="29"/>
        <v/>
      </c>
    </row>
    <row r="270" spans="1:10" ht="23.1" customHeight="1">
      <c r="A270" s="1" t="str">
        <f>IF(COUNTA(B270:C270)=0,"",262)</f>
        <v/>
      </c>
      <c r="B270" s="8"/>
      <c r="C270" s="9"/>
      <c r="D270" s="10" t="str">
        <f t="shared" si="24"/>
        <v/>
      </c>
      <c r="E270" s="1"/>
      <c r="F270" s="11" t="str">
        <f t="shared" si="25"/>
        <v/>
      </c>
      <c r="G270" s="11" t="str">
        <f t="shared" si="26"/>
        <v/>
      </c>
      <c r="H270" s="11" t="str">
        <f t="shared" si="27"/>
        <v/>
      </c>
      <c r="I270" s="12" t="str">
        <f t="shared" si="28"/>
        <v/>
      </c>
      <c r="J270" s="13" t="str">
        <f t="shared" si="29"/>
        <v/>
      </c>
    </row>
    <row r="271" spans="1:10" ht="23.1" customHeight="1">
      <c r="A271" s="1" t="str">
        <f>IF(COUNTA(B271:C271)=0,"",263)</f>
        <v/>
      </c>
      <c r="B271" s="8"/>
      <c r="C271" s="9"/>
      <c r="D271" s="10" t="str">
        <f t="shared" si="24"/>
        <v/>
      </c>
      <c r="E271" s="1"/>
      <c r="F271" s="11" t="str">
        <f t="shared" si="25"/>
        <v/>
      </c>
      <c r="G271" s="11" t="str">
        <f t="shared" si="26"/>
        <v/>
      </c>
      <c r="H271" s="11" t="str">
        <f t="shared" si="27"/>
        <v/>
      </c>
      <c r="I271" s="12" t="str">
        <f t="shared" si="28"/>
        <v/>
      </c>
      <c r="J271" s="13" t="str">
        <f t="shared" si="29"/>
        <v/>
      </c>
    </row>
    <row r="272" spans="1:10" ht="23.1" customHeight="1">
      <c r="A272" s="1" t="str">
        <f>IF(COUNTA(B272:C272)=0,"",264)</f>
        <v/>
      </c>
      <c r="B272" s="8"/>
      <c r="C272" s="9"/>
      <c r="D272" s="10" t="str">
        <f t="shared" si="24"/>
        <v/>
      </c>
      <c r="E272" s="1"/>
      <c r="F272" s="11" t="str">
        <f t="shared" si="25"/>
        <v/>
      </c>
      <c r="G272" s="11" t="str">
        <f t="shared" si="26"/>
        <v/>
      </c>
      <c r="H272" s="11" t="str">
        <f t="shared" si="27"/>
        <v/>
      </c>
      <c r="I272" s="12" t="str">
        <f t="shared" si="28"/>
        <v/>
      </c>
      <c r="J272" s="13" t="str">
        <f t="shared" si="29"/>
        <v/>
      </c>
    </row>
    <row r="273" spans="1:10" ht="23.1" customHeight="1">
      <c r="A273" s="1" t="str">
        <f>IF(COUNTA(B273:C273)=0,"",265)</f>
        <v/>
      </c>
      <c r="B273" s="8"/>
      <c r="C273" s="9"/>
      <c r="D273" s="10" t="str">
        <f t="shared" si="24"/>
        <v/>
      </c>
      <c r="E273" s="1"/>
      <c r="F273" s="11" t="str">
        <f t="shared" si="25"/>
        <v/>
      </c>
      <c r="G273" s="11" t="str">
        <f t="shared" si="26"/>
        <v/>
      </c>
      <c r="H273" s="11" t="str">
        <f t="shared" si="27"/>
        <v/>
      </c>
      <c r="I273" s="12" t="str">
        <f t="shared" si="28"/>
        <v/>
      </c>
      <c r="J273" s="13" t="str">
        <f t="shared" si="29"/>
        <v/>
      </c>
    </row>
    <row r="274" spans="1:10" ht="23.1" customHeight="1">
      <c r="A274" s="1" t="str">
        <f>IF(COUNTA(B274:C274)=0,"",266)</f>
        <v/>
      </c>
      <c r="B274" s="8"/>
      <c r="C274" s="9"/>
      <c r="D274" s="10" t="str">
        <f t="shared" si="24"/>
        <v/>
      </c>
      <c r="E274" s="1"/>
      <c r="F274" s="11" t="str">
        <f t="shared" si="25"/>
        <v/>
      </c>
      <c r="G274" s="11" t="str">
        <f t="shared" si="26"/>
        <v/>
      </c>
      <c r="H274" s="11" t="str">
        <f t="shared" si="27"/>
        <v/>
      </c>
      <c r="I274" s="12" t="str">
        <f t="shared" si="28"/>
        <v/>
      </c>
      <c r="J274" s="13" t="str">
        <f t="shared" si="29"/>
        <v/>
      </c>
    </row>
    <row r="275" spans="1:10" ht="23.1" customHeight="1">
      <c r="A275" s="1" t="str">
        <f>IF(COUNTA(B275:C275)=0,"",267)</f>
        <v/>
      </c>
      <c r="B275" s="8"/>
      <c r="C275" s="9"/>
      <c r="D275" s="10" t="str">
        <f t="shared" si="24"/>
        <v/>
      </c>
      <c r="E275" s="1"/>
      <c r="F275" s="11" t="str">
        <f t="shared" si="25"/>
        <v/>
      </c>
      <c r="G275" s="11" t="str">
        <f t="shared" si="26"/>
        <v/>
      </c>
      <c r="H275" s="11" t="str">
        <f t="shared" si="27"/>
        <v/>
      </c>
      <c r="I275" s="12" t="str">
        <f t="shared" si="28"/>
        <v/>
      </c>
      <c r="J275" s="13" t="str">
        <f t="shared" si="29"/>
        <v/>
      </c>
    </row>
    <row r="276" spans="1:10" ht="23.1" customHeight="1">
      <c r="A276" s="1" t="str">
        <f>IF(COUNTA(B276:C276)=0,"",268)</f>
        <v/>
      </c>
      <c r="B276" s="8"/>
      <c r="C276" s="9"/>
      <c r="D276" s="10" t="str">
        <f t="shared" si="24"/>
        <v/>
      </c>
      <c r="E276" s="1"/>
      <c r="F276" s="11" t="str">
        <f t="shared" si="25"/>
        <v/>
      </c>
      <c r="G276" s="11" t="str">
        <f t="shared" si="26"/>
        <v/>
      </c>
      <c r="H276" s="11" t="str">
        <f t="shared" si="27"/>
        <v/>
      </c>
      <c r="I276" s="12" t="str">
        <f t="shared" si="28"/>
        <v/>
      </c>
      <c r="J276" s="13" t="str">
        <f t="shared" si="29"/>
        <v/>
      </c>
    </row>
    <row r="277" spans="1:10" ht="23.1" customHeight="1">
      <c r="A277" s="1" t="str">
        <f>IF(COUNTA(B277:C277)=0,"",269)</f>
        <v/>
      </c>
      <c r="B277" s="8"/>
      <c r="C277" s="9"/>
      <c r="D277" s="10" t="str">
        <f t="shared" si="24"/>
        <v/>
      </c>
      <c r="E277" s="1"/>
      <c r="F277" s="11" t="str">
        <f t="shared" si="25"/>
        <v/>
      </c>
      <c r="G277" s="11" t="str">
        <f t="shared" si="26"/>
        <v/>
      </c>
      <c r="H277" s="11" t="str">
        <f t="shared" si="27"/>
        <v/>
      </c>
      <c r="I277" s="12" t="str">
        <f t="shared" si="28"/>
        <v/>
      </c>
      <c r="J277" s="13" t="str">
        <f t="shared" si="29"/>
        <v/>
      </c>
    </row>
    <row r="278" spans="1:10" ht="23.1" customHeight="1">
      <c r="A278" s="1" t="str">
        <f>IF(COUNTA(B278:C278)=0,"",270)</f>
        <v/>
      </c>
      <c r="B278" s="8"/>
      <c r="C278" s="9"/>
      <c r="D278" s="10" t="str">
        <f t="shared" si="24"/>
        <v/>
      </c>
      <c r="E278" s="1"/>
      <c r="F278" s="11" t="str">
        <f t="shared" si="25"/>
        <v/>
      </c>
      <c r="G278" s="11" t="str">
        <f t="shared" si="26"/>
        <v/>
      </c>
      <c r="H278" s="11" t="str">
        <f t="shared" si="27"/>
        <v/>
      </c>
      <c r="I278" s="12" t="str">
        <f t="shared" si="28"/>
        <v/>
      </c>
      <c r="J278" s="13" t="str">
        <f t="shared" si="29"/>
        <v/>
      </c>
    </row>
    <row r="279" spans="1:10" ht="23.1" customHeight="1">
      <c r="A279" s="1" t="str">
        <f>IF(COUNTA(B279:C279)=0,"",271)</f>
        <v/>
      </c>
      <c r="B279" s="8"/>
      <c r="C279" s="9"/>
      <c r="D279" s="10" t="str">
        <f t="shared" si="24"/>
        <v/>
      </c>
      <c r="E279" s="1"/>
      <c r="F279" s="11" t="str">
        <f t="shared" si="25"/>
        <v/>
      </c>
      <c r="G279" s="11" t="str">
        <f t="shared" si="26"/>
        <v/>
      </c>
      <c r="H279" s="11" t="str">
        <f t="shared" si="27"/>
        <v/>
      </c>
      <c r="I279" s="12" t="str">
        <f t="shared" si="28"/>
        <v/>
      </c>
      <c r="J279" s="13" t="str">
        <f t="shared" si="29"/>
        <v/>
      </c>
    </row>
    <row r="280" spans="1:10" ht="23.1" customHeight="1">
      <c r="A280" s="1" t="str">
        <f>IF(COUNTA(B280:C280)=0,"",272)</f>
        <v/>
      </c>
      <c r="B280" s="8"/>
      <c r="C280" s="9"/>
      <c r="D280" s="10" t="str">
        <f t="shared" si="24"/>
        <v/>
      </c>
      <c r="E280" s="1"/>
      <c r="F280" s="11" t="str">
        <f t="shared" si="25"/>
        <v/>
      </c>
      <c r="G280" s="11" t="str">
        <f t="shared" si="26"/>
        <v/>
      </c>
      <c r="H280" s="11" t="str">
        <f t="shared" si="27"/>
        <v/>
      </c>
      <c r="I280" s="12" t="str">
        <f t="shared" si="28"/>
        <v/>
      </c>
      <c r="J280" s="13" t="str">
        <f t="shared" si="29"/>
        <v/>
      </c>
    </row>
    <row r="281" spans="1:10" ht="23.1" customHeight="1">
      <c r="A281" s="1" t="str">
        <f>IF(COUNTA(B281:C281)=0,"",273)</f>
        <v/>
      </c>
      <c r="B281" s="8"/>
      <c r="C281" s="9"/>
      <c r="D281" s="10" t="str">
        <f t="shared" si="24"/>
        <v/>
      </c>
      <c r="E281" s="1"/>
      <c r="F281" s="11" t="str">
        <f t="shared" si="25"/>
        <v/>
      </c>
      <c r="G281" s="11" t="str">
        <f t="shared" si="26"/>
        <v/>
      </c>
      <c r="H281" s="11" t="str">
        <f t="shared" si="27"/>
        <v/>
      </c>
      <c r="I281" s="12" t="str">
        <f t="shared" si="28"/>
        <v/>
      </c>
      <c r="J281" s="13" t="str">
        <f t="shared" si="29"/>
        <v/>
      </c>
    </row>
    <row r="282" spans="1:10" ht="23.1" customHeight="1">
      <c r="A282" s="1" t="str">
        <f>IF(COUNTA(B282:C282)=0,"",274)</f>
        <v/>
      </c>
      <c r="B282" s="8"/>
      <c r="C282" s="9"/>
      <c r="D282" s="10" t="str">
        <f t="shared" si="24"/>
        <v/>
      </c>
      <c r="E282" s="1"/>
      <c r="F282" s="11" t="str">
        <f t="shared" si="25"/>
        <v/>
      </c>
      <c r="G282" s="11" t="str">
        <f t="shared" si="26"/>
        <v/>
      </c>
      <c r="H282" s="11" t="str">
        <f t="shared" si="27"/>
        <v/>
      </c>
      <c r="I282" s="12" t="str">
        <f t="shared" si="28"/>
        <v/>
      </c>
      <c r="J282" s="13" t="str">
        <f t="shared" si="29"/>
        <v/>
      </c>
    </row>
    <row r="283" spans="1:10" ht="23.1" customHeight="1">
      <c r="A283" s="1" t="str">
        <f>IF(COUNTA(B283:C283)=0,"",275)</f>
        <v/>
      </c>
      <c r="B283" s="8"/>
      <c r="C283" s="9"/>
      <c r="D283" s="10" t="str">
        <f t="shared" si="24"/>
        <v/>
      </c>
      <c r="E283" s="1"/>
      <c r="F283" s="11" t="str">
        <f t="shared" si="25"/>
        <v/>
      </c>
      <c r="G283" s="11" t="str">
        <f t="shared" si="26"/>
        <v/>
      </c>
      <c r="H283" s="11" t="str">
        <f t="shared" si="27"/>
        <v/>
      </c>
      <c r="I283" s="12" t="str">
        <f t="shared" si="28"/>
        <v/>
      </c>
      <c r="J283" s="13" t="str">
        <f t="shared" si="29"/>
        <v/>
      </c>
    </row>
    <row r="284" spans="1:10" ht="23.1" customHeight="1">
      <c r="A284" s="1" t="str">
        <f>IF(COUNTA(B284:C284)=0,"",276)</f>
        <v/>
      </c>
      <c r="B284" s="8"/>
      <c r="C284" s="9"/>
      <c r="D284" s="10" t="str">
        <f t="shared" si="24"/>
        <v/>
      </c>
      <c r="E284" s="1"/>
      <c r="F284" s="11" t="str">
        <f t="shared" si="25"/>
        <v/>
      </c>
      <c r="G284" s="11" t="str">
        <f t="shared" si="26"/>
        <v/>
      </c>
      <c r="H284" s="11" t="str">
        <f t="shared" si="27"/>
        <v/>
      </c>
      <c r="I284" s="12" t="str">
        <f t="shared" si="28"/>
        <v/>
      </c>
      <c r="J284" s="13" t="str">
        <f t="shared" si="29"/>
        <v/>
      </c>
    </row>
    <row r="285" spans="1:10" ht="23.1" customHeight="1">
      <c r="A285" s="1" t="str">
        <f>IF(COUNTA(B285:C285)=0,"",277)</f>
        <v/>
      </c>
      <c r="B285" s="8"/>
      <c r="C285" s="9"/>
      <c r="D285" s="10" t="str">
        <f t="shared" si="24"/>
        <v/>
      </c>
      <c r="E285" s="1"/>
      <c r="F285" s="11" t="str">
        <f t="shared" si="25"/>
        <v/>
      </c>
      <c r="G285" s="11" t="str">
        <f t="shared" si="26"/>
        <v/>
      </c>
      <c r="H285" s="11" t="str">
        <f t="shared" si="27"/>
        <v/>
      </c>
      <c r="I285" s="12" t="str">
        <f t="shared" si="28"/>
        <v/>
      </c>
      <c r="J285" s="13" t="str">
        <f t="shared" si="29"/>
        <v/>
      </c>
    </row>
    <row r="286" spans="1:10" ht="23.1" customHeight="1">
      <c r="A286" s="1" t="str">
        <f>IF(COUNTA(B286:C286)=0,"",278)</f>
        <v/>
      </c>
      <c r="B286" s="8"/>
      <c r="C286" s="9"/>
      <c r="D286" s="10" t="str">
        <f t="shared" si="24"/>
        <v/>
      </c>
      <c r="E286" s="1"/>
      <c r="F286" s="11" t="str">
        <f t="shared" si="25"/>
        <v/>
      </c>
      <c r="G286" s="11" t="str">
        <f t="shared" si="26"/>
        <v/>
      </c>
      <c r="H286" s="11" t="str">
        <f t="shared" si="27"/>
        <v/>
      </c>
      <c r="I286" s="12" t="str">
        <f t="shared" si="28"/>
        <v/>
      </c>
      <c r="J286" s="13" t="str">
        <f t="shared" si="29"/>
        <v/>
      </c>
    </row>
    <row r="287" spans="1:10" ht="23.1" customHeight="1">
      <c r="A287" s="1" t="str">
        <f>IF(COUNTA(B287:C287)=0,"",279)</f>
        <v/>
      </c>
      <c r="B287" s="8"/>
      <c r="C287" s="9"/>
      <c r="D287" s="10" t="str">
        <f t="shared" si="24"/>
        <v/>
      </c>
      <c r="E287" s="1"/>
      <c r="F287" s="11" t="str">
        <f t="shared" si="25"/>
        <v/>
      </c>
      <c r="G287" s="11" t="str">
        <f t="shared" si="26"/>
        <v/>
      </c>
      <c r="H287" s="11" t="str">
        <f t="shared" si="27"/>
        <v/>
      </c>
      <c r="I287" s="12" t="str">
        <f t="shared" si="28"/>
        <v/>
      </c>
      <c r="J287" s="13" t="str">
        <f t="shared" si="29"/>
        <v/>
      </c>
    </row>
    <row r="288" spans="1:10" ht="23.1" customHeight="1">
      <c r="A288" s="1" t="str">
        <f>IF(COUNTA(B288:C288)=0,"",280)</f>
        <v/>
      </c>
      <c r="B288" s="8"/>
      <c r="C288" s="9"/>
      <c r="D288" s="10" t="str">
        <f t="shared" si="24"/>
        <v/>
      </c>
      <c r="E288" s="1"/>
      <c r="F288" s="11" t="str">
        <f t="shared" si="25"/>
        <v/>
      </c>
      <c r="G288" s="11" t="str">
        <f t="shared" si="26"/>
        <v/>
      </c>
      <c r="H288" s="11" t="str">
        <f t="shared" si="27"/>
        <v/>
      </c>
      <c r="I288" s="12" t="str">
        <f t="shared" si="28"/>
        <v/>
      </c>
      <c r="J288" s="13" t="str">
        <f t="shared" si="29"/>
        <v/>
      </c>
    </row>
    <row r="289" spans="1:10" ht="23.1" customHeight="1">
      <c r="A289" s="1" t="str">
        <f>IF(COUNTA(B289:C289)=0,"",281)</f>
        <v/>
      </c>
      <c r="B289" s="8"/>
      <c r="C289" s="9"/>
      <c r="D289" s="10" t="str">
        <f t="shared" si="24"/>
        <v/>
      </c>
      <c r="E289" s="1"/>
      <c r="F289" s="11" t="str">
        <f t="shared" si="25"/>
        <v/>
      </c>
      <c r="G289" s="11" t="str">
        <f t="shared" si="26"/>
        <v/>
      </c>
      <c r="H289" s="11" t="str">
        <f t="shared" si="27"/>
        <v/>
      </c>
      <c r="I289" s="12" t="str">
        <f t="shared" si="28"/>
        <v/>
      </c>
      <c r="J289" s="13" t="str">
        <f t="shared" si="29"/>
        <v/>
      </c>
    </row>
    <row r="290" spans="1:10" ht="23.1" customHeight="1">
      <c r="A290" s="1" t="str">
        <f>IF(COUNTA(B290:C290)=0,"",282)</f>
        <v/>
      </c>
      <c r="B290" s="8"/>
      <c r="C290" s="9"/>
      <c r="D290" s="10" t="str">
        <f t="shared" si="24"/>
        <v/>
      </c>
      <c r="E290" s="1"/>
      <c r="F290" s="11" t="str">
        <f t="shared" si="25"/>
        <v/>
      </c>
      <c r="G290" s="11" t="str">
        <f t="shared" si="26"/>
        <v/>
      </c>
      <c r="H290" s="11" t="str">
        <f t="shared" si="27"/>
        <v/>
      </c>
      <c r="I290" s="12" t="str">
        <f t="shared" si="28"/>
        <v/>
      </c>
      <c r="J290" s="13" t="str">
        <f t="shared" si="29"/>
        <v/>
      </c>
    </row>
    <row r="291" spans="1:10" ht="23.1" customHeight="1">
      <c r="A291" s="1" t="str">
        <f>IF(COUNTA(B291:C291)=0,"",283)</f>
        <v/>
      </c>
      <c r="B291" s="8"/>
      <c r="C291" s="9"/>
      <c r="D291" s="10" t="str">
        <f t="shared" si="24"/>
        <v/>
      </c>
      <c r="E291" s="1"/>
      <c r="F291" s="11" t="str">
        <f t="shared" si="25"/>
        <v/>
      </c>
      <c r="G291" s="11" t="str">
        <f t="shared" si="26"/>
        <v/>
      </c>
      <c r="H291" s="11" t="str">
        <f t="shared" si="27"/>
        <v/>
      </c>
      <c r="I291" s="12" t="str">
        <f t="shared" si="28"/>
        <v/>
      </c>
      <c r="J291" s="13" t="str">
        <f t="shared" si="29"/>
        <v/>
      </c>
    </row>
    <row r="292" spans="1:10" ht="23.1" customHeight="1">
      <c r="A292" s="1" t="str">
        <f>IF(COUNTA(B292:C292)=0,"",284)</f>
        <v/>
      </c>
      <c r="B292" s="8"/>
      <c r="C292" s="9"/>
      <c r="D292" s="10" t="str">
        <f t="shared" si="24"/>
        <v/>
      </c>
      <c r="E292" s="1"/>
      <c r="F292" s="11" t="str">
        <f t="shared" si="25"/>
        <v/>
      </c>
      <c r="G292" s="11" t="str">
        <f t="shared" si="26"/>
        <v/>
      </c>
      <c r="H292" s="11" t="str">
        <f t="shared" si="27"/>
        <v/>
      </c>
      <c r="I292" s="12" t="str">
        <f t="shared" si="28"/>
        <v/>
      </c>
      <c r="J292" s="13" t="str">
        <f t="shared" si="29"/>
        <v/>
      </c>
    </row>
    <row r="293" spans="1:10" ht="23.1" customHeight="1">
      <c r="A293" s="1" t="str">
        <f>IF(COUNTA(B293:C293)=0,"",285)</f>
        <v/>
      </c>
      <c r="B293" s="8"/>
      <c r="C293" s="9"/>
      <c r="D293" s="10" t="str">
        <f t="shared" si="24"/>
        <v/>
      </c>
      <c r="E293" s="1"/>
      <c r="F293" s="11" t="str">
        <f t="shared" si="25"/>
        <v/>
      </c>
      <c r="G293" s="11" t="str">
        <f t="shared" si="26"/>
        <v/>
      </c>
      <c r="H293" s="11" t="str">
        <f t="shared" si="27"/>
        <v/>
      </c>
      <c r="I293" s="12" t="str">
        <f t="shared" si="28"/>
        <v/>
      </c>
      <c r="J293" s="13" t="str">
        <f t="shared" si="29"/>
        <v/>
      </c>
    </row>
    <row r="294" spans="1:10" ht="23.1" customHeight="1">
      <c r="A294" s="1" t="str">
        <f>IF(COUNTA(B294:C294)=0,"",286)</f>
        <v/>
      </c>
      <c r="B294" s="8"/>
      <c r="C294" s="9"/>
      <c r="D294" s="10" t="str">
        <f t="shared" si="24"/>
        <v/>
      </c>
      <c r="E294" s="1"/>
      <c r="F294" s="11" t="str">
        <f t="shared" si="25"/>
        <v/>
      </c>
      <c r="G294" s="11" t="str">
        <f t="shared" si="26"/>
        <v/>
      </c>
      <c r="H294" s="11" t="str">
        <f t="shared" si="27"/>
        <v/>
      </c>
      <c r="I294" s="12" t="str">
        <f t="shared" si="28"/>
        <v/>
      </c>
      <c r="J294" s="13" t="str">
        <f t="shared" si="29"/>
        <v/>
      </c>
    </row>
    <row r="295" spans="1:10" ht="23.1" customHeight="1">
      <c r="A295" s="1" t="str">
        <f>IF(COUNTA(B295:C295)=0,"",287)</f>
        <v/>
      </c>
      <c r="B295" s="8"/>
      <c r="C295" s="9"/>
      <c r="D295" s="10" t="str">
        <f t="shared" si="24"/>
        <v/>
      </c>
      <c r="E295" s="1"/>
      <c r="F295" s="11" t="str">
        <f t="shared" si="25"/>
        <v/>
      </c>
      <c r="G295" s="11" t="str">
        <f t="shared" si="26"/>
        <v/>
      </c>
      <c r="H295" s="11" t="str">
        <f t="shared" si="27"/>
        <v/>
      </c>
      <c r="I295" s="12" t="str">
        <f t="shared" si="28"/>
        <v/>
      </c>
      <c r="J295" s="13" t="str">
        <f t="shared" si="29"/>
        <v/>
      </c>
    </row>
    <row r="296" spans="1:10" ht="23.1" customHeight="1">
      <c r="A296" s="1" t="str">
        <f>IF(COUNTA(B296:C296)=0,"",288)</f>
        <v/>
      </c>
      <c r="B296" s="8"/>
      <c r="C296" s="9"/>
      <c r="D296" s="10" t="str">
        <f t="shared" si="24"/>
        <v/>
      </c>
      <c r="E296" s="1"/>
      <c r="F296" s="11" t="str">
        <f t="shared" si="25"/>
        <v/>
      </c>
      <c r="G296" s="11" t="str">
        <f t="shared" si="26"/>
        <v/>
      </c>
      <c r="H296" s="11" t="str">
        <f t="shared" si="27"/>
        <v/>
      </c>
      <c r="I296" s="12" t="str">
        <f t="shared" si="28"/>
        <v/>
      </c>
      <c r="J296" s="13" t="str">
        <f t="shared" si="29"/>
        <v/>
      </c>
    </row>
    <row r="297" spans="1:10" ht="23.1" customHeight="1">
      <c r="A297" s="1" t="str">
        <f>IF(COUNTA(B297:C297)=0,"",289)</f>
        <v/>
      </c>
      <c r="B297" s="8"/>
      <c r="C297" s="9"/>
      <c r="D297" s="10" t="str">
        <f t="shared" si="24"/>
        <v/>
      </c>
      <c r="E297" s="1"/>
      <c r="F297" s="11" t="str">
        <f t="shared" si="25"/>
        <v/>
      </c>
      <c r="G297" s="11" t="str">
        <f t="shared" si="26"/>
        <v/>
      </c>
      <c r="H297" s="11" t="str">
        <f t="shared" si="27"/>
        <v/>
      </c>
      <c r="I297" s="12" t="str">
        <f t="shared" si="28"/>
        <v/>
      </c>
      <c r="J297" s="13" t="str">
        <f t="shared" si="29"/>
        <v/>
      </c>
    </row>
    <row r="298" spans="1:10" ht="23.1" customHeight="1">
      <c r="A298" s="1" t="str">
        <f>IF(COUNTA(B298:C298)=0,"",290)</f>
        <v/>
      </c>
      <c r="B298" s="8"/>
      <c r="C298" s="9"/>
      <c r="D298" s="10" t="str">
        <f t="shared" si="24"/>
        <v/>
      </c>
      <c r="E298" s="1"/>
      <c r="F298" s="11" t="str">
        <f t="shared" si="25"/>
        <v/>
      </c>
      <c r="G298" s="11" t="str">
        <f t="shared" si="26"/>
        <v/>
      </c>
      <c r="H298" s="11" t="str">
        <f t="shared" si="27"/>
        <v/>
      </c>
      <c r="I298" s="12" t="str">
        <f t="shared" si="28"/>
        <v/>
      </c>
      <c r="J298" s="13" t="str">
        <f t="shared" si="29"/>
        <v/>
      </c>
    </row>
    <row r="299" spans="1:10" ht="23.1" customHeight="1">
      <c r="A299" s="1" t="str">
        <f>IF(COUNTA(B299:C299)=0,"",291)</f>
        <v/>
      </c>
      <c r="B299" s="8"/>
      <c r="C299" s="9"/>
      <c r="D299" s="10" t="str">
        <f t="shared" si="24"/>
        <v/>
      </c>
      <c r="E299" s="1"/>
      <c r="F299" s="11" t="str">
        <f t="shared" si="25"/>
        <v/>
      </c>
      <c r="G299" s="11" t="str">
        <f t="shared" si="26"/>
        <v/>
      </c>
      <c r="H299" s="11" t="str">
        <f t="shared" si="27"/>
        <v/>
      </c>
      <c r="I299" s="12" t="str">
        <f t="shared" si="28"/>
        <v/>
      </c>
      <c r="J299" s="13" t="str">
        <f t="shared" si="29"/>
        <v/>
      </c>
    </row>
    <row r="300" spans="1:10" ht="23.1" customHeight="1">
      <c r="A300" s="1" t="str">
        <f>IF(COUNTA(B300:C300)=0,"",292)</f>
        <v/>
      </c>
      <c r="B300" s="8"/>
      <c r="C300" s="9"/>
      <c r="D300" s="10" t="str">
        <f t="shared" si="24"/>
        <v/>
      </c>
      <c r="E300" s="1"/>
      <c r="F300" s="11" t="str">
        <f t="shared" si="25"/>
        <v/>
      </c>
      <c r="G300" s="11" t="str">
        <f t="shared" si="26"/>
        <v/>
      </c>
      <c r="H300" s="11" t="str">
        <f t="shared" si="27"/>
        <v/>
      </c>
      <c r="I300" s="12" t="str">
        <f t="shared" si="28"/>
        <v/>
      </c>
      <c r="J300" s="13" t="str">
        <f t="shared" si="29"/>
        <v/>
      </c>
    </row>
    <row r="301" spans="1:10" ht="23.1" customHeight="1">
      <c r="A301" s="1" t="str">
        <f>IF(COUNTA(B301:C301)=0,"",293)</f>
        <v/>
      </c>
      <c r="B301" s="8"/>
      <c r="C301" s="9"/>
      <c r="D301" s="10" t="str">
        <f t="shared" si="24"/>
        <v/>
      </c>
      <c r="E301" s="1"/>
      <c r="F301" s="11" t="str">
        <f t="shared" si="25"/>
        <v/>
      </c>
      <c r="G301" s="11" t="str">
        <f t="shared" si="26"/>
        <v/>
      </c>
      <c r="H301" s="11" t="str">
        <f t="shared" si="27"/>
        <v/>
      </c>
      <c r="I301" s="12" t="str">
        <f t="shared" si="28"/>
        <v/>
      </c>
      <c r="J301" s="13" t="str">
        <f t="shared" si="29"/>
        <v/>
      </c>
    </row>
    <row r="302" spans="1:10" ht="23.1" customHeight="1">
      <c r="A302" s="1" t="str">
        <f>IF(COUNTA(B302:C302)=0,"",294)</f>
        <v/>
      </c>
      <c r="B302" s="8"/>
      <c r="C302" s="9"/>
      <c r="D302" s="10" t="str">
        <f t="shared" si="24"/>
        <v/>
      </c>
      <c r="E302" s="1"/>
      <c r="F302" s="11" t="str">
        <f t="shared" si="25"/>
        <v/>
      </c>
      <c r="G302" s="11" t="str">
        <f t="shared" si="26"/>
        <v/>
      </c>
      <c r="H302" s="11" t="str">
        <f t="shared" si="27"/>
        <v/>
      </c>
      <c r="I302" s="12" t="str">
        <f t="shared" si="28"/>
        <v/>
      </c>
      <c r="J302" s="13" t="str">
        <f t="shared" si="29"/>
        <v/>
      </c>
    </row>
    <row r="303" spans="1:10" ht="23.1" customHeight="1">
      <c r="A303" s="1" t="str">
        <f>IF(COUNTA(B303:C303)=0,"",295)</f>
        <v/>
      </c>
      <c r="B303" s="8"/>
      <c r="C303" s="9"/>
      <c r="D303" s="10" t="str">
        <f t="shared" si="24"/>
        <v/>
      </c>
      <c r="E303" s="1"/>
      <c r="F303" s="11" t="str">
        <f t="shared" si="25"/>
        <v/>
      </c>
      <c r="G303" s="11" t="str">
        <f t="shared" si="26"/>
        <v/>
      </c>
      <c r="H303" s="11" t="str">
        <f t="shared" si="27"/>
        <v/>
      </c>
      <c r="I303" s="12" t="str">
        <f t="shared" si="28"/>
        <v/>
      </c>
      <c r="J303" s="13" t="str">
        <f t="shared" si="29"/>
        <v/>
      </c>
    </row>
    <row r="304" spans="1:10" ht="23.1" customHeight="1">
      <c r="A304" s="1" t="str">
        <f>IF(COUNTA(B304:C304)=0,"",296)</f>
        <v/>
      </c>
      <c r="B304" s="8"/>
      <c r="C304" s="9"/>
      <c r="D304" s="10" t="str">
        <f t="shared" si="24"/>
        <v/>
      </c>
      <c r="E304" s="1"/>
      <c r="F304" s="11" t="str">
        <f t="shared" si="25"/>
        <v/>
      </c>
      <c r="G304" s="11" t="str">
        <f t="shared" si="26"/>
        <v/>
      </c>
      <c r="H304" s="11" t="str">
        <f t="shared" si="27"/>
        <v/>
      </c>
      <c r="I304" s="12" t="str">
        <f t="shared" si="28"/>
        <v/>
      </c>
      <c r="J304" s="13" t="str">
        <f t="shared" si="29"/>
        <v/>
      </c>
    </row>
    <row r="305" spans="1:10" ht="23.1" customHeight="1">
      <c r="A305" s="1" t="str">
        <f>IF(COUNTA(B305:C305)=0,"",297)</f>
        <v/>
      </c>
      <c r="B305" s="8"/>
      <c r="C305" s="9"/>
      <c r="D305" s="10" t="str">
        <f t="shared" si="24"/>
        <v/>
      </c>
      <c r="E305" s="1"/>
      <c r="F305" s="11" t="str">
        <f t="shared" si="25"/>
        <v/>
      </c>
      <c r="G305" s="11" t="str">
        <f t="shared" si="26"/>
        <v/>
      </c>
      <c r="H305" s="11" t="str">
        <f t="shared" si="27"/>
        <v/>
      </c>
      <c r="I305" s="12" t="str">
        <f t="shared" si="28"/>
        <v/>
      </c>
      <c r="J305" s="13" t="str">
        <f t="shared" si="29"/>
        <v/>
      </c>
    </row>
    <row r="306" spans="1:10" ht="23.1" customHeight="1">
      <c r="A306" s="1" t="str">
        <f>IF(COUNTA(B306:C306)=0,"",298)</f>
        <v/>
      </c>
      <c r="B306" s="8"/>
      <c r="C306" s="9"/>
      <c r="D306" s="10" t="str">
        <f t="shared" si="24"/>
        <v/>
      </c>
      <c r="E306" s="1"/>
      <c r="F306" s="11" t="str">
        <f t="shared" si="25"/>
        <v/>
      </c>
      <c r="G306" s="11" t="str">
        <f t="shared" si="26"/>
        <v/>
      </c>
      <c r="H306" s="11" t="str">
        <f t="shared" si="27"/>
        <v/>
      </c>
      <c r="I306" s="12" t="str">
        <f t="shared" si="28"/>
        <v/>
      </c>
      <c r="J306" s="13" t="str">
        <f t="shared" si="29"/>
        <v/>
      </c>
    </row>
    <row r="307" spans="1:10" ht="23.1" customHeight="1">
      <c r="A307" s="1" t="str">
        <f>IF(COUNTA(B307:C307)=0,"",299)</f>
        <v/>
      </c>
      <c r="B307" s="8"/>
      <c r="C307" s="9"/>
      <c r="D307" s="10" t="str">
        <f t="shared" si="24"/>
        <v/>
      </c>
      <c r="E307" s="1"/>
      <c r="F307" s="11" t="str">
        <f t="shared" si="25"/>
        <v/>
      </c>
      <c r="G307" s="11" t="str">
        <f t="shared" si="26"/>
        <v/>
      </c>
      <c r="H307" s="11" t="str">
        <f t="shared" si="27"/>
        <v/>
      </c>
      <c r="I307" s="12" t="str">
        <f t="shared" si="28"/>
        <v/>
      </c>
      <c r="J307" s="13" t="str">
        <f t="shared" si="29"/>
        <v/>
      </c>
    </row>
    <row r="308" spans="1:10" ht="23.1" customHeight="1">
      <c r="A308" s="1" t="str">
        <f>IF(COUNTA(B308:C308)=0,"",300)</f>
        <v/>
      </c>
      <c r="B308" s="8"/>
      <c r="C308" s="9"/>
      <c r="D308" s="10" t="str">
        <f t="shared" si="24"/>
        <v/>
      </c>
      <c r="E308" s="1"/>
      <c r="F308" s="11" t="str">
        <f t="shared" si="25"/>
        <v/>
      </c>
      <c r="G308" s="11" t="str">
        <f t="shared" si="26"/>
        <v/>
      </c>
      <c r="H308" s="11" t="str">
        <f t="shared" si="27"/>
        <v/>
      </c>
      <c r="I308" s="12" t="str">
        <f t="shared" si="28"/>
        <v/>
      </c>
      <c r="J308" s="13" t="str">
        <f t="shared" si="29"/>
        <v/>
      </c>
    </row>
    <row r="309" spans="1:10" ht="23.1" customHeight="1">
      <c r="A309" s="1" t="str">
        <f>IF(COUNTA(B309:C309)=0,"",301)</f>
        <v/>
      </c>
      <c r="B309" s="8"/>
      <c r="C309" s="9"/>
      <c r="D309" s="10" t="str">
        <f t="shared" si="24"/>
        <v/>
      </c>
      <c r="E309" s="1"/>
      <c r="F309" s="11" t="str">
        <f t="shared" si="25"/>
        <v/>
      </c>
      <c r="G309" s="11" t="str">
        <f t="shared" si="26"/>
        <v/>
      </c>
      <c r="H309" s="11" t="str">
        <f t="shared" si="27"/>
        <v/>
      </c>
      <c r="I309" s="12" t="str">
        <f t="shared" si="28"/>
        <v/>
      </c>
      <c r="J309" s="13" t="str">
        <f t="shared" si="29"/>
        <v/>
      </c>
    </row>
    <row r="310" spans="1:10" ht="23.1" customHeight="1">
      <c r="A310" s="1" t="str">
        <f>IF(COUNTA(B310:C310)=0,"",302)</f>
        <v/>
      </c>
      <c r="B310" s="8"/>
      <c r="C310" s="9"/>
      <c r="D310" s="10" t="str">
        <f t="shared" si="24"/>
        <v/>
      </c>
      <c r="E310" s="1"/>
      <c r="F310" s="11" t="str">
        <f t="shared" si="25"/>
        <v/>
      </c>
      <c r="G310" s="11" t="str">
        <f t="shared" si="26"/>
        <v/>
      </c>
      <c r="H310" s="11" t="str">
        <f t="shared" si="27"/>
        <v/>
      </c>
      <c r="I310" s="12" t="str">
        <f t="shared" si="28"/>
        <v/>
      </c>
      <c r="J310" s="13" t="str">
        <f t="shared" si="29"/>
        <v/>
      </c>
    </row>
    <row r="311" spans="1:10" ht="23.1" customHeight="1">
      <c r="A311" s="1" t="str">
        <f>IF(COUNTA(B311:C311)=0,"",303)</f>
        <v/>
      </c>
      <c r="B311" s="8"/>
      <c r="C311" s="9"/>
      <c r="D311" s="10" t="str">
        <f t="shared" si="24"/>
        <v/>
      </c>
      <c r="E311" s="1"/>
      <c r="F311" s="11" t="str">
        <f t="shared" si="25"/>
        <v/>
      </c>
      <c r="G311" s="11" t="str">
        <f t="shared" si="26"/>
        <v/>
      </c>
      <c r="H311" s="11" t="str">
        <f t="shared" si="27"/>
        <v/>
      </c>
      <c r="I311" s="12" t="str">
        <f t="shared" si="28"/>
        <v/>
      </c>
      <c r="J311" s="13" t="str">
        <f t="shared" si="29"/>
        <v/>
      </c>
    </row>
    <row r="312" spans="1:10" ht="23.1" customHeight="1">
      <c r="A312" s="1" t="str">
        <f>IF(COUNTA(B312:C312)=0,"",304)</f>
        <v/>
      </c>
      <c r="B312" s="8"/>
      <c r="C312" s="9"/>
      <c r="D312" s="10" t="str">
        <f t="shared" si="24"/>
        <v/>
      </c>
      <c r="E312" s="1"/>
      <c r="F312" s="11" t="str">
        <f t="shared" si="25"/>
        <v/>
      </c>
      <c r="G312" s="11" t="str">
        <f t="shared" si="26"/>
        <v/>
      </c>
      <c r="H312" s="11" t="str">
        <f t="shared" si="27"/>
        <v/>
      </c>
      <c r="I312" s="12" t="str">
        <f t="shared" si="28"/>
        <v/>
      </c>
      <c r="J312" s="13" t="str">
        <f t="shared" si="29"/>
        <v/>
      </c>
    </row>
    <row r="313" spans="1:10" ht="23.1" customHeight="1">
      <c r="A313" s="1" t="str">
        <f>IF(COUNTA(B313:C313)=0,"",305)</f>
        <v/>
      </c>
      <c r="B313" s="8"/>
      <c r="C313" s="9"/>
      <c r="D313" s="10" t="str">
        <f t="shared" si="24"/>
        <v/>
      </c>
      <c r="E313" s="1"/>
      <c r="F313" s="11" t="str">
        <f t="shared" si="25"/>
        <v/>
      </c>
      <c r="G313" s="11" t="str">
        <f t="shared" si="26"/>
        <v/>
      </c>
      <c r="H313" s="11" t="str">
        <f t="shared" si="27"/>
        <v/>
      </c>
      <c r="I313" s="12" t="str">
        <f t="shared" si="28"/>
        <v/>
      </c>
      <c r="J313" s="13" t="str">
        <f t="shared" si="29"/>
        <v/>
      </c>
    </row>
    <row r="314" spans="1:10" ht="23.1" customHeight="1">
      <c r="A314" s="1" t="str">
        <f>IF(COUNTA(B314:C314)=0,"",306)</f>
        <v/>
      </c>
      <c r="B314" s="8"/>
      <c r="C314" s="9"/>
      <c r="D314" s="10" t="str">
        <f t="shared" si="24"/>
        <v/>
      </c>
      <c r="E314" s="1"/>
      <c r="F314" s="11" t="str">
        <f t="shared" si="25"/>
        <v/>
      </c>
      <c r="G314" s="11" t="str">
        <f t="shared" si="26"/>
        <v/>
      </c>
      <c r="H314" s="11" t="str">
        <f t="shared" si="27"/>
        <v/>
      </c>
      <c r="I314" s="12" t="str">
        <f t="shared" si="28"/>
        <v/>
      </c>
      <c r="J314" s="13" t="str">
        <f t="shared" si="29"/>
        <v/>
      </c>
    </row>
    <row r="315" spans="1:10" ht="23.1" customHeight="1">
      <c r="A315" s="1" t="str">
        <f>IF(COUNTA(B315:C315)=0,"",307)</f>
        <v/>
      </c>
      <c r="B315" s="8"/>
      <c r="C315" s="9"/>
      <c r="D315" s="10" t="str">
        <f t="shared" si="24"/>
        <v/>
      </c>
      <c r="E315" s="1"/>
      <c r="F315" s="11" t="str">
        <f t="shared" si="25"/>
        <v/>
      </c>
      <c r="G315" s="11" t="str">
        <f t="shared" si="26"/>
        <v/>
      </c>
      <c r="H315" s="11" t="str">
        <f t="shared" si="27"/>
        <v/>
      </c>
      <c r="I315" s="12" t="str">
        <f t="shared" si="28"/>
        <v/>
      </c>
      <c r="J315" s="13" t="str">
        <f t="shared" si="29"/>
        <v/>
      </c>
    </row>
    <row r="316" spans="1:10" ht="23.1" customHeight="1">
      <c r="A316" s="1" t="str">
        <f>IF(COUNTA(B316:C316)=0,"",308)</f>
        <v/>
      </c>
      <c r="B316" s="8"/>
      <c r="C316" s="9"/>
      <c r="D316" s="10" t="str">
        <f t="shared" si="24"/>
        <v/>
      </c>
      <c r="E316" s="1"/>
      <c r="F316" s="11" t="str">
        <f t="shared" si="25"/>
        <v/>
      </c>
      <c r="G316" s="11" t="str">
        <f t="shared" si="26"/>
        <v/>
      </c>
      <c r="H316" s="11" t="str">
        <f t="shared" si="27"/>
        <v/>
      </c>
      <c r="I316" s="12" t="str">
        <f t="shared" si="28"/>
        <v/>
      </c>
      <c r="J316" s="13" t="str">
        <f t="shared" si="29"/>
        <v/>
      </c>
    </row>
    <row r="317" spans="1:10" ht="23.1" customHeight="1">
      <c r="A317" s="1" t="str">
        <f>IF(COUNTA(B317:C317)=0,"",309)</f>
        <v/>
      </c>
      <c r="B317" s="8"/>
      <c r="C317" s="9"/>
      <c r="D317" s="10" t="str">
        <f t="shared" si="24"/>
        <v/>
      </c>
      <c r="E317" s="1"/>
      <c r="F317" s="11" t="str">
        <f t="shared" si="25"/>
        <v/>
      </c>
      <c r="G317" s="11" t="str">
        <f t="shared" si="26"/>
        <v/>
      </c>
      <c r="H317" s="11" t="str">
        <f t="shared" si="27"/>
        <v/>
      </c>
      <c r="I317" s="12" t="str">
        <f t="shared" si="28"/>
        <v/>
      </c>
      <c r="J317" s="13" t="str">
        <f t="shared" si="29"/>
        <v/>
      </c>
    </row>
    <row r="318" spans="1:10" ht="23.1" customHeight="1">
      <c r="A318" s="1" t="str">
        <f>IF(COUNTA(B318:C318)=0,"",310)</f>
        <v/>
      </c>
      <c r="B318" s="8"/>
      <c r="C318" s="9"/>
      <c r="D318" s="10" t="str">
        <f t="shared" si="24"/>
        <v/>
      </c>
      <c r="E318" s="1"/>
      <c r="F318" s="11" t="str">
        <f t="shared" si="25"/>
        <v/>
      </c>
      <c r="G318" s="11" t="str">
        <f t="shared" si="26"/>
        <v/>
      </c>
      <c r="H318" s="11" t="str">
        <f t="shared" si="27"/>
        <v/>
      </c>
      <c r="I318" s="12" t="str">
        <f t="shared" si="28"/>
        <v/>
      </c>
      <c r="J318" s="13" t="str">
        <f t="shared" si="29"/>
        <v/>
      </c>
    </row>
    <row r="319" spans="1:10" ht="23.1" customHeight="1">
      <c r="A319" s="1" t="str">
        <f>IF(COUNTA(B319:C319)=0,"",311)</f>
        <v/>
      </c>
      <c r="B319" s="8"/>
      <c r="C319" s="9"/>
      <c r="D319" s="10" t="str">
        <f t="shared" si="24"/>
        <v/>
      </c>
      <c r="E319" s="1"/>
      <c r="F319" s="11" t="str">
        <f t="shared" si="25"/>
        <v/>
      </c>
      <c r="G319" s="11" t="str">
        <f t="shared" si="26"/>
        <v/>
      </c>
      <c r="H319" s="11" t="str">
        <f t="shared" si="27"/>
        <v/>
      </c>
      <c r="I319" s="12" t="str">
        <f t="shared" si="28"/>
        <v/>
      </c>
      <c r="J319" s="13" t="str">
        <f t="shared" si="29"/>
        <v/>
      </c>
    </row>
    <row r="320" spans="1:10" ht="23.1" customHeight="1">
      <c r="A320" s="1" t="str">
        <f>IF(COUNTA(B320:C320)=0,"",312)</f>
        <v/>
      </c>
      <c r="B320" s="8"/>
      <c r="C320" s="9"/>
      <c r="D320" s="10" t="str">
        <f t="shared" si="24"/>
        <v/>
      </c>
      <c r="E320" s="1"/>
      <c r="F320" s="11" t="str">
        <f t="shared" si="25"/>
        <v/>
      </c>
      <c r="G320" s="11" t="str">
        <f t="shared" si="26"/>
        <v/>
      </c>
      <c r="H320" s="11" t="str">
        <f t="shared" si="27"/>
        <v/>
      </c>
      <c r="I320" s="12" t="str">
        <f t="shared" si="28"/>
        <v/>
      </c>
      <c r="J320" s="13" t="str">
        <f t="shared" si="29"/>
        <v/>
      </c>
    </row>
    <row r="321" spans="1:10" ht="23.1" customHeight="1">
      <c r="A321" s="1" t="str">
        <f>IF(COUNTA(B321:C321)=0,"",313)</f>
        <v/>
      </c>
      <c r="B321" s="8"/>
      <c r="C321" s="9"/>
      <c r="D321" s="10" t="str">
        <f t="shared" si="24"/>
        <v/>
      </c>
      <c r="E321" s="1"/>
      <c r="F321" s="11" t="str">
        <f t="shared" si="25"/>
        <v/>
      </c>
      <c r="G321" s="11" t="str">
        <f t="shared" si="26"/>
        <v/>
      </c>
      <c r="H321" s="11" t="str">
        <f t="shared" si="27"/>
        <v/>
      </c>
      <c r="I321" s="12" t="str">
        <f t="shared" si="28"/>
        <v/>
      </c>
      <c r="J321" s="13" t="str">
        <f t="shared" si="29"/>
        <v/>
      </c>
    </row>
    <row r="322" spans="1:10" ht="23.1" customHeight="1">
      <c r="A322" s="1" t="str">
        <f>IF(COUNTA(B322:C322)=0,"",314)</f>
        <v/>
      </c>
      <c r="B322" s="8"/>
      <c r="C322" s="9"/>
      <c r="D322" s="10" t="str">
        <f t="shared" si="24"/>
        <v/>
      </c>
      <c r="E322" s="1"/>
      <c r="F322" s="11" t="str">
        <f t="shared" si="25"/>
        <v/>
      </c>
      <c r="G322" s="11" t="str">
        <f t="shared" si="26"/>
        <v/>
      </c>
      <c r="H322" s="11" t="str">
        <f t="shared" si="27"/>
        <v/>
      </c>
      <c r="I322" s="12" t="str">
        <f t="shared" si="28"/>
        <v/>
      </c>
      <c r="J322" s="13" t="str">
        <f t="shared" si="29"/>
        <v/>
      </c>
    </row>
    <row r="323" spans="1:10" ht="23.1" customHeight="1">
      <c r="A323" s="1" t="str">
        <f>IF(COUNTA(B323:C323)=0,"",315)</f>
        <v/>
      </c>
      <c r="B323" s="8"/>
      <c r="C323" s="9"/>
      <c r="D323" s="10" t="str">
        <f t="shared" si="24"/>
        <v/>
      </c>
      <c r="E323" s="1"/>
      <c r="F323" s="11" t="str">
        <f t="shared" si="25"/>
        <v/>
      </c>
      <c r="G323" s="11" t="str">
        <f t="shared" si="26"/>
        <v/>
      </c>
      <c r="H323" s="11" t="str">
        <f t="shared" si="27"/>
        <v/>
      </c>
      <c r="I323" s="12" t="str">
        <f t="shared" si="28"/>
        <v/>
      </c>
      <c r="J323" s="13" t="str">
        <f t="shared" si="29"/>
        <v/>
      </c>
    </row>
    <row r="324" spans="1:10" ht="23.1" customHeight="1">
      <c r="A324" s="1" t="str">
        <f>IF(COUNTA(B324:C324)=0,"",316)</f>
        <v/>
      </c>
      <c r="B324" s="8"/>
      <c r="C324" s="9"/>
      <c r="D324" s="10" t="str">
        <f t="shared" si="24"/>
        <v/>
      </c>
      <c r="E324" s="1"/>
      <c r="F324" s="11" t="str">
        <f t="shared" si="25"/>
        <v/>
      </c>
      <c r="G324" s="11" t="str">
        <f t="shared" si="26"/>
        <v/>
      </c>
      <c r="H324" s="11" t="str">
        <f t="shared" si="27"/>
        <v/>
      </c>
      <c r="I324" s="12" t="str">
        <f t="shared" si="28"/>
        <v/>
      </c>
      <c r="J324" s="13" t="str">
        <f t="shared" si="29"/>
        <v/>
      </c>
    </row>
    <row r="325" spans="1:10" ht="23.1" customHeight="1">
      <c r="A325" s="1" t="str">
        <f>IF(COUNTA(B325:C325)=0,"",317)</f>
        <v/>
      </c>
      <c r="B325" s="8"/>
      <c r="C325" s="9"/>
      <c r="D325" s="10" t="str">
        <f t="shared" si="24"/>
        <v/>
      </c>
      <c r="E325" s="1"/>
      <c r="F325" s="11" t="str">
        <f t="shared" si="25"/>
        <v/>
      </c>
      <c r="G325" s="11" t="str">
        <f t="shared" si="26"/>
        <v/>
      </c>
      <c r="H325" s="11" t="str">
        <f t="shared" si="27"/>
        <v/>
      </c>
      <c r="I325" s="12" t="str">
        <f t="shared" si="28"/>
        <v/>
      </c>
      <c r="J325" s="13" t="str">
        <f t="shared" si="29"/>
        <v/>
      </c>
    </row>
    <row r="326" spans="1:10" ht="23.1" customHeight="1">
      <c r="A326" s="1" t="str">
        <f>IF(COUNTA(B326:C326)=0,"",318)</f>
        <v/>
      </c>
      <c r="B326" s="8"/>
      <c r="C326" s="9"/>
      <c r="D326" s="10" t="str">
        <f t="shared" si="24"/>
        <v/>
      </c>
      <c r="E326" s="1"/>
      <c r="F326" s="11" t="str">
        <f t="shared" si="25"/>
        <v/>
      </c>
      <c r="G326" s="11" t="str">
        <f t="shared" si="26"/>
        <v/>
      </c>
      <c r="H326" s="11" t="str">
        <f t="shared" si="27"/>
        <v/>
      </c>
      <c r="I326" s="12" t="str">
        <f t="shared" si="28"/>
        <v/>
      </c>
      <c r="J326" s="13" t="str">
        <f t="shared" si="29"/>
        <v/>
      </c>
    </row>
    <row r="327" spans="1:10" ht="23.1" customHeight="1">
      <c r="A327" s="1" t="str">
        <f>IF(COUNTA(B327:C327)=0,"",319)</f>
        <v/>
      </c>
      <c r="B327" s="8"/>
      <c r="C327" s="9"/>
      <c r="D327" s="10" t="str">
        <f t="shared" si="24"/>
        <v/>
      </c>
      <c r="E327" s="1"/>
      <c r="F327" s="11" t="str">
        <f t="shared" si="25"/>
        <v/>
      </c>
      <c r="G327" s="11" t="str">
        <f t="shared" si="26"/>
        <v/>
      </c>
      <c r="H327" s="11" t="str">
        <f t="shared" si="27"/>
        <v/>
      </c>
      <c r="I327" s="12" t="str">
        <f t="shared" si="28"/>
        <v/>
      </c>
      <c r="J327" s="13" t="str">
        <f t="shared" si="29"/>
        <v/>
      </c>
    </row>
    <row r="328" spans="1:10" ht="23.1" customHeight="1">
      <c r="A328" s="1" t="str">
        <f>IF(COUNTA(B328:C328)=0,"",320)</f>
        <v/>
      </c>
      <c r="B328" s="8"/>
      <c r="C328" s="9"/>
      <c r="D328" s="10" t="str">
        <f t="shared" si="24"/>
        <v/>
      </c>
      <c r="E328" s="1"/>
      <c r="F328" s="11" t="str">
        <f t="shared" si="25"/>
        <v/>
      </c>
      <c r="G328" s="11" t="str">
        <f t="shared" si="26"/>
        <v/>
      </c>
      <c r="H328" s="11" t="str">
        <f t="shared" si="27"/>
        <v/>
      </c>
      <c r="I328" s="12" t="str">
        <f t="shared" si="28"/>
        <v/>
      </c>
      <c r="J328" s="13" t="str">
        <f t="shared" si="29"/>
        <v/>
      </c>
    </row>
    <row r="329" spans="1:10" ht="23.1" customHeight="1">
      <c r="A329" s="1" t="str">
        <f>IF(COUNTA(B329:C329)=0,"",321)</f>
        <v/>
      </c>
      <c r="B329" s="8"/>
      <c r="C329" s="9"/>
      <c r="D329" s="10" t="str">
        <f t="shared" ref="D329:D392" si="30">IF(NOT(ISNUMBER(C329)),"",ROUND(C329*30%,2))</f>
        <v/>
      </c>
      <c r="E329" s="1"/>
      <c r="F329" s="11" t="str">
        <f t="shared" ref="F329:F392" si="31">IF(NOT(ISNUMBER(C329)),"",ROUND(H329*30%,2))</f>
        <v/>
      </c>
      <c r="G329" s="11" t="str">
        <f t="shared" ref="G329:G392" si="32">IF(NOT(ISNUMBER(C329)),"",ROUND(H329-F329,2))</f>
        <v/>
      </c>
      <c r="H329" s="11" t="str">
        <f t="shared" ref="H329:H392" si="33">IF(NOT(ISNUMBER(C329)),"",ROUND(C329-D329,2))</f>
        <v/>
      </c>
      <c r="I329" s="12" t="str">
        <f t="shared" ref="I329:I392" si="34">IF(NOT(ISNUMBER(C329)),"",ROUND(C329-SUM(D329,F329:G329),2))</f>
        <v/>
      </c>
      <c r="J329" s="13" t="str">
        <f t="shared" ref="J329:J392" si="35">IF(COUNTA(B329:C329)=0,"",IF(B329="","Falta apartamento",IF(NOT(ISNUMBER(C329)),"Falta valor","Completo")))</f>
        <v/>
      </c>
    </row>
    <row r="330" spans="1:10" ht="23.1" customHeight="1">
      <c r="A330" s="1" t="str">
        <f>IF(COUNTA(B330:C330)=0,"",322)</f>
        <v/>
      </c>
      <c r="B330" s="8"/>
      <c r="C330" s="9"/>
      <c r="D330" s="10" t="str">
        <f t="shared" si="30"/>
        <v/>
      </c>
      <c r="E330" s="1"/>
      <c r="F330" s="11" t="str">
        <f t="shared" si="31"/>
        <v/>
      </c>
      <c r="G330" s="11" t="str">
        <f t="shared" si="32"/>
        <v/>
      </c>
      <c r="H330" s="11" t="str">
        <f t="shared" si="33"/>
        <v/>
      </c>
      <c r="I330" s="12" t="str">
        <f t="shared" si="34"/>
        <v/>
      </c>
      <c r="J330" s="13" t="str">
        <f t="shared" si="35"/>
        <v/>
      </c>
    </row>
    <row r="331" spans="1:10" ht="23.1" customHeight="1">
      <c r="A331" s="1" t="str">
        <f>IF(COUNTA(B331:C331)=0,"",323)</f>
        <v/>
      </c>
      <c r="B331" s="8"/>
      <c r="C331" s="9"/>
      <c r="D331" s="10" t="str">
        <f t="shared" si="30"/>
        <v/>
      </c>
      <c r="E331" s="1"/>
      <c r="F331" s="11" t="str">
        <f t="shared" si="31"/>
        <v/>
      </c>
      <c r="G331" s="11" t="str">
        <f t="shared" si="32"/>
        <v/>
      </c>
      <c r="H331" s="11" t="str">
        <f t="shared" si="33"/>
        <v/>
      </c>
      <c r="I331" s="12" t="str">
        <f t="shared" si="34"/>
        <v/>
      </c>
      <c r="J331" s="13" t="str">
        <f t="shared" si="35"/>
        <v/>
      </c>
    </row>
    <row r="332" spans="1:10" ht="23.1" customHeight="1">
      <c r="A332" s="1" t="str">
        <f>IF(COUNTA(B332:C332)=0,"",324)</f>
        <v/>
      </c>
      <c r="B332" s="8"/>
      <c r="C332" s="9"/>
      <c r="D332" s="10" t="str">
        <f t="shared" si="30"/>
        <v/>
      </c>
      <c r="E332" s="1"/>
      <c r="F332" s="11" t="str">
        <f t="shared" si="31"/>
        <v/>
      </c>
      <c r="G332" s="11" t="str">
        <f t="shared" si="32"/>
        <v/>
      </c>
      <c r="H332" s="11" t="str">
        <f t="shared" si="33"/>
        <v/>
      </c>
      <c r="I332" s="12" t="str">
        <f t="shared" si="34"/>
        <v/>
      </c>
      <c r="J332" s="13" t="str">
        <f t="shared" si="35"/>
        <v/>
      </c>
    </row>
    <row r="333" spans="1:10" ht="23.1" customHeight="1">
      <c r="A333" s="1" t="str">
        <f>IF(COUNTA(B333:C333)=0,"",325)</f>
        <v/>
      </c>
      <c r="B333" s="8"/>
      <c r="C333" s="9"/>
      <c r="D333" s="10" t="str">
        <f t="shared" si="30"/>
        <v/>
      </c>
      <c r="E333" s="1"/>
      <c r="F333" s="11" t="str">
        <f t="shared" si="31"/>
        <v/>
      </c>
      <c r="G333" s="11" t="str">
        <f t="shared" si="32"/>
        <v/>
      </c>
      <c r="H333" s="11" t="str">
        <f t="shared" si="33"/>
        <v/>
      </c>
      <c r="I333" s="12" t="str">
        <f t="shared" si="34"/>
        <v/>
      </c>
      <c r="J333" s="13" t="str">
        <f t="shared" si="35"/>
        <v/>
      </c>
    </row>
    <row r="334" spans="1:10" ht="23.1" customHeight="1">
      <c r="A334" s="1" t="str">
        <f>IF(COUNTA(B334:C334)=0,"",326)</f>
        <v/>
      </c>
      <c r="B334" s="8"/>
      <c r="C334" s="9"/>
      <c r="D334" s="10" t="str">
        <f t="shared" si="30"/>
        <v/>
      </c>
      <c r="E334" s="1"/>
      <c r="F334" s="11" t="str">
        <f t="shared" si="31"/>
        <v/>
      </c>
      <c r="G334" s="11" t="str">
        <f t="shared" si="32"/>
        <v/>
      </c>
      <c r="H334" s="11" t="str">
        <f t="shared" si="33"/>
        <v/>
      </c>
      <c r="I334" s="12" t="str">
        <f t="shared" si="34"/>
        <v/>
      </c>
      <c r="J334" s="13" t="str">
        <f t="shared" si="35"/>
        <v/>
      </c>
    </row>
    <row r="335" spans="1:10" ht="23.1" customHeight="1">
      <c r="A335" s="1" t="str">
        <f>IF(COUNTA(B335:C335)=0,"",327)</f>
        <v/>
      </c>
      <c r="B335" s="8"/>
      <c r="C335" s="9"/>
      <c r="D335" s="10" t="str">
        <f t="shared" si="30"/>
        <v/>
      </c>
      <c r="E335" s="1"/>
      <c r="F335" s="11" t="str">
        <f t="shared" si="31"/>
        <v/>
      </c>
      <c r="G335" s="11" t="str">
        <f t="shared" si="32"/>
        <v/>
      </c>
      <c r="H335" s="11" t="str">
        <f t="shared" si="33"/>
        <v/>
      </c>
      <c r="I335" s="12" t="str">
        <f t="shared" si="34"/>
        <v/>
      </c>
      <c r="J335" s="13" t="str">
        <f t="shared" si="35"/>
        <v/>
      </c>
    </row>
    <row r="336" spans="1:10" ht="23.1" customHeight="1">
      <c r="A336" s="1" t="str">
        <f>IF(COUNTA(B336:C336)=0,"",328)</f>
        <v/>
      </c>
      <c r="B336" s="8"/>
      <c r="C336" s="9"/>
      <c r="D336" s="10" t="str">
        <f t="shared" si="30"/>
        <v/>
      </c>
      <c r="E336" s="1"/>
      <c r="F336" s="11" t="str">
        <f t="shared" si="31"/>
        <v/>
      </c>
      <c r="G336" s="11" t="str">
        <f t="shared" si="32"/>
        <v/>
      </c>
      <c r="H336" s="11" t="str">
        <f t="shared" si="33"/>
        <v/>
      </c>
      <c r="I336" s="12" t="str">
        <f t="shared" si="34"/>
        <v/>
      </c>
      <c r="J336" s="13" t="str">
        <f t="shared" si="35"/>
        <v/>
      </c>
    </row>
    <row r="337" spans="1:10" ht="23.1" customHeight="1">
      <c r="A337" s="1" t="str">
        <f>IF(COUNTA(B337:C337)=0,"",329)</f>
        <v/>
      </c>
      <c r="B337" s="8"/>
      <c r="C337" s="9"/>
      <c r="D337" s="10" t="str">
        <f t="shared" si="30"/>
        <v/>
      </c>
      <c r="E337" s="1"/>
      <c r="F337" s="11" t="str">
        <f t="shared" si="31"/>
        <v/>
      </c>
      <c r="G337" s="11" t="str">
        <f t="shared" si="32"/>
        <v/>
      </c>
      <c r="H337" s="11" t="str">
        <f t="shared" si="33"/>
        <v/>
      </c>
      <c r="I337" s="12" t="str">
        <f t="shared" si="34"/>
        <v/>
      </c>
      <c r="J337" s="13" t="str">
        <f t="shared" si="35"/>
        <v/>
      </c>
    </row>
    <row r="338" spans="1:10" ht="23.1" customHeight="1">
      <c r="A338" s="1" t="str">
        <f>IF(COUNTA(B338:C338)=0,"",330)</f>
        <v/>
      </c>
      <c r="B338" s="8"/>
      <c r="C338" s="9"/>
      <c r="D338" s="10" t="str">
        <f t="shared" si="30"/>
        <v/>
      </c>
      <c r="E338" s="1"/>
      <c r="F338" s="11" t="str">
        <f t="shared" si="31"/>
        <v/>
      </c>
      <c r="G338" s="11" t="str">
        <f t="shared" si="32"/>
        <v/>
      </c>
      <c r="H338" s="11" t="str">
        <f t="shared" si="33"/>
        <v/>
      </c>
      <c r="I338" s="12" t="str">
        <f t="shared" si="34"/>
        <v/>
      </c>
      <c r="J338" s="13" t="str">
        <f t="shared" si="35"/>
        <v/>
      </c>
    </row>
    <row r="339" spans="1:10" ht="23.1" customHeight="1">
      <c r="A339" s="1" t="str">
        <f>IF(COUNTA(B339:C339)=0,"",331)</f>
        <v/>
      </c>
      <c r="B339" s="8"/>
      <c r="C339" s="9"/>
      <c r="D339" s="10" t="str">
        <f t="shared" si="30"/>
        <v/>
      </c>
      <c r="E339" s="1"/>
      <c r="F339" s="11" t="str">
        <f t="shared" si="31"/>
        <v/>
      </c>
      <c r="G339" s="11" t="str">
        <f t="shared" si="32"/>
        <v/>
      </c>
      <c r="H339" s="11" t="str">
        <f t="shared" si="33"/>
        <v/>
      </c>
      <c r="I339" s="12" t="str">
        <f t="shared" si="34"/>
        <v/>
      </c>
      <c r="J339" s="13" t="str">
        <f t="shared" si="35"/>
        <v/>
      </c>
    </row>
    <row r="340" spans="1:10" ht="23.1" customHeight="1">
      <c r="A340" s="1" t="str">
        <f>IF(COUNTA(B340:C340)=0,"",332)</f>
        <v/>
      </c>
      <c r="B340" s="8"/>
      <c r="C340" s="9"/>
      <c r="D340" s="10" t="str">
        <f t="shared" si="30"/>
        <v/>
      </c>
      <c r="E340" s="1"/>
      <c r="F340" s="11" t="str">
        <f t="shared" si="31"/>
        <v/>
      </c>
      <c r="G340" s="11" t="str">
        <f t="shared" si="32"/>
        <v/>
      </c>
      <c r="H340" s="11" t="str">
        <f t="shared" si="33"/>
        <v/>
      </c>
      <c r="I340" s="12" t="str">
        <f t="shared" si="34"/>
        <v/>
      </c>
      <c r="J340" s="13" t="str">
        <f t="shared" si="35"/>
        <v/>
      </c>
    </row>
    <row r="341" spans="1:10" ht="23.1" customHeight="1">
      <c r="A341" s="1" t="str">
        <f>IF(COUNTA(B341:C341)=0,"",333)</f>
        <v/>
      </c>
      <c r="B341" s="8"/>
      <c r="C341" s="9"/>
      <c r="D341" s="10" t="str">
        <f t="shared" si="30"/>
        <v/>
      </c>
      <c r="E341" s="1"/>
      <c r="F341" s="11" t="str">
        <f t="shared" si="31"/>
        <v/>
      </c>
      <c r="G341" s="11" t="str">
        <f t="shared" si="32"/>
        <v/>
      </c>
      <c r="H341" s="11" t="str">
        <f t="shared" si="33"/>
        <v/>
      </c>
      <c r="I341" s="12" t="str">
        <f t="shared" si="34"/>
        <v/>
      </c>
      <c r="J341" s="13" t="str">
        <f t="shared" si="35"/>
        <v/>
      </c>
    </row>
    <row r="342" spans="1:10" ht="23.1" customHeight="1">
      <c r="A342" s="1" t="str">
        <f>IF(COUNTA(B342:C342)=0,"",334)</f>
        <v/>
      </c>
      <c r="B342" s="8"/>
      <c r="C342" s="9"/>
      <c r="D342" s="10" t="str">
        <f t="shared" si="30"/>
        <v/>
      </c>
      <c r="E342" s="1"/>
      <c r="F342" s="11" t="str">
        <f t="shared" si="31"/>
        <v/>
      </c>
      <c r="G342" s="11" t="str">
        <f t="shared" si="32"/>
        <v/>
      </c>
      <c r="H342" s="11" t="str">
        <f t="shared" si="33"/>
        <v/>
      </c>
      <c r="I342" s="12" t="str">
        <f t="shared" si="34"/>
        <v/>
      </c>
      <c r="J342" s="13" t="str">
        <f t="shared" si="35"/>
        <v/>
      </c>
    </row>
    <row r="343" spans="1:10" ht="23.1" customHeight="1">
      <c r="A343" s="1" t="str">
        <f>IF(COUNTA(B343:C343)=0,"",335)</f>
        <v/>
      </c>
      <c r="B343" s="8"/>
      <c r="C343" s="9"/>
      <c r="D343" s="10" t="str">
        <f t="shared" si="30"/>
        <v/>
      </c>
      <c r="E343" s="1"/>
      <c r="F343" s="11" t="str">
        <f t="shared" si="31"/>
        <v/>
      </c>
      <c r="G343" s="11" t="str">
        <f t="shared" si="32"/>
        <v/>
      </c>
      <c r="H343" s="11" t="str">
        <f t="shared" si="33"/>
        <v/>
      </c>
      <c r="I343" s="12" t="str">
        <f t="shared" si="34"/>
        <v/>
      </c>
      <c r="J343" s="13" t="str">
        <f t="shared" si="35"/>
        <v/>
      </c>
    </row>
    <row r="344" spans="1:10" ht="23.1" customHeight="1">
      <c r="A344" s="1" t="str">
        <f>IF(COUNTA(B344:C344)=0,"",336)</f>
        <v/>
      </c>
      <c r="B344" s="8"/>
      <c r="C344" s="9"/>
      <c r="D344" s="10" t="str">
        <f t="shared" si="30"/>
        <v/>
      </c>
      <c r="E344" s="1"/>
      <c r="F344" s="11" t="str">
        <f t="shared" si="31"/>
        <v/>
      </c>
      <c r="G344" s="11" t="str">
        <f t="shared" si="32"/>
        <v/>
      </c>
      <c r="H344" s="11" t="str">
        <f t="shared" si="33"/>
        <v/>
      </c>
      <c r="I344" s="12" t="str">
        <f t="shared" si="34"/>
        <v/>
      </c>
      <c r="J344" s="13" t="str">
        <f t="shared" si="35"/>
        <v/>
      </c>
    </row>
    <row r="345" spans="1:10" ht="23.1" customHeight="1">
      <c r="A345" s="1" t="str">
        <f>IF(COUNTA(B345:C345)=0,"",337)</f>
        <v/>
      </c>
      <c r="B345" s="8"/>
      <c r="C345" s="9"/>
      <c r="D345" s="10" t="str">
        <f t="shared" si="30"/>
        <v/>
      </c>
      <c r="E345" s="1"/>
      <c r="F345" s="11" t="str">
        <f t="shared" si="31"/>
        <v/>
      </c>
      <c r="G345" s="11" t="str">
        <f t="shared" si="32"/>
        <v/>
      </c>
      <c r="H345" s="11" t="str">
        <f t="shared" si="33"/>
        <v/>
      </c>
      <c r="I345" s="12" t="str">
        <f t="shared" si="34"/>
        <v/>
      </c>
      <c r="J345" s="13" t="str">
        <f t="shared" si="35"/>
        <v/>
      </c>
    </row>
    <row r="346" spans="1:10" ht="23.1" customHeight="1">
      <c r="A346" s="1" t="str">
        <f>IF(COUNTA(B346:C346)=0,"",338)</f>
        <v/>
      </c>
      <c r="B346" s="8"/>
      <c r="C346" s="9"/>
      <c r="D346" s="10" t="str">
        <f t="shared" si="30"/>
        <v/>
      </c>
      <c r="E346" s="1"/>
      <c r="F346" s="11" t="str">
        <f t="shared" si="31"/>
        <v/>
      </c>
      <c r="G346" s="11" t="str">
        <f t="shared" si="32"/>
        <v/>
      </c>
      <c r="H346" s="11" t="str">
        <f t="shared" si="33"/>
        <v/>
      </c>
      <c r="I346" s="12" t="str">
        <f t="shared" si="34"/>
        <v/>
      </c>
      <c r="J346" s="13" t="str">
        <f t="shared" si="35"/>
        <v/>
      </c>
    </row>
    <row r="347" spans="1:10" ht="23.1" customHeight="1">
      <c r="A347" s="1" t="str">
        <f>IF(COUNTA(B347:C347)=0,"",339)</f>
        <v/>
      </c>
      <c r="B347" s="8"/>
      <c r="C347" s="9"/>
      <c r="D347" s="10" t="str">
        <f t="shared" si="30"/>
        <v/>
      </c>
      <c r="E347" s="1"/>
      <c r="F347" s="11" t="str">
        <f t="shared" si="31"/>
        <v/>
      </c>
      <c r="G347" s="11" t="str">
        <f t="shared" si="32"/>
        <v/>
      </c>
      <c r="H347" s="11" t="str">
        <f t="shared" si="33"/>
        <v/>
      </c>
      <c r="I347" s="12" t="str">
        <f t="shared" si="34"/>
        <v/>
      </c>
      <c r="J347" s="13" t="str">
        <f t="shared" si="35"/>
        <v/>
      </c>
    </row>
    <row r="348" spans="1:10" ht="23.1" customHeight="1">
      <c r="A348" s="1" t="str">
        <f>IF(COUNTA(B348:C348)=0,"",340)</f>
        <v/>
      </c>
      <c r="B348" s="8"/>
      <c r="C348" s="9"/>
      <c r="D348" s="10" t="str">
        <f t="shared" si="30"/>
        <v/>
      </c>
      <c r="E348" s="1"/>
      <c r="F348" s="11" t="str">
        <f t="shared" si="31"/>
        <v/>
      </c>
      <c r="G348" s="11" t="str">
        <f t="shared" si="32"/>
        <v/>
      </c>
      <c r="H348" s="11" t="str">
        <f t="shared" si="33"/>
        <v/>
      </c>
      <c r="I348" s="12" t="str">
        <f t="shared" si="34"/>
        <v/>
      </c>
      <c r="J348" s="13" t="str">
        <f t="shared" si="35"/>
        <v/>
      </c>
    </row>
    <row r="349" spans="1:10" ht="23.1" customHeight="1">
      <c r="A349" s="1" t="str">
        <f>IF(COUNTA(B349:C349)=0,"",341)</f>
        <v/>
      </c>
      <c r="B349" s="8"/>
      <c r="C349" s="9"/>
      <c r="D349" s="10" t="str">
        <f t="shared" si="30"/>
        <v/>
      </c>
      <c r="E349" s="1"/>
      <c r="F349" s="11" t="str">
        <f t="shared" si="31"/>
        <v/>
      </c>
      <c r="G349" s="11" t="str">
        <f t="shared" si="32"/>
        <v/>
      </c>
      <c r="H349" s="11" t="str">
        <f t="shared" si="33"/>
        <v/>
      </c>
      <c r="I349" s="12" t="str">
        <f t="shared" si="34"/>
        <v/>
      </c>
      <c r="J349" s="13" t="str">
        <f t="shared" si="35"/>
        <v/>
      </c>
    </row>
    <row r="350" spans="1:10" ht="23.1" customHeight="1">
      <c r="A350" s="1" t="str">
        <f>IF(COUNTA(B350:C350)=0,"",342)</f>
        <v/>
      </c>
      <c r="B350" s="8"/>
      <c r="C350" s="9"/>
      <c r="D350" s="10" t="str">
        <f t="shared" si="30"/>
        <v/>
      </c>
      <c r="E350" s="1"/>
      <c r="F350" s="11" t="str">
        <f t="shared" si="31"/>
        <v/>
      </c>
      <c r="G350" s="11" t="str">
        <f t="shared" si="32"/>
        <v/>
      </c>
      <c r="H350" s="11" t="str">
        <f t="shared" si="33"/>
        <v/>
      </c>
      <c r="I350" s="12" t="str">
        <f t="shared" si="34"/>
        <v/>
      </c>
      <c r="J350" s="13" t="str">
        <f t="shared" si="35"/>
        <v/>
      </c>
    </row>
    <row r="351" spans="1:10" ht="23.1" customHeight="1">
      <c r="A351" s="1" t="str">
        <f>IF(COUNTA(B351:C351)=0,"",343)</f>
        <v/>
      </c>
      <c r="B351" s="8"/>
      <c r="C351" s="9"/>
      <c r="D351" s="10" t="str">
        <f t="shared" si="30"/>
        <v/>
      </c>
      <c r="E351" s="1"/>
      <c r="F351" s="11" t="str">
        <f t="shared" si="31"/>
        <v/>
      </c>
      <c r="G351" s="11" t="str">
        <f t="shared" si="32"/>
        <v/>
      </c>
      <c r="H351" s="11" t="str">
        <f t="shared" si="33"/>
        <v/>
      </c>
      <c r="I351" s="12" t="str">
        <f t="shared" si="34"/>
        <v/>
      </c>
      <c r="J351" s="13" t="str">
        <f t="shared" si="35"/>
        <v/>
      </c>
    </row>
    <row r="352" spans="1:10" ht="23.1" customHeight="1">
      <c r="A352" s="1" t="str">
        <f>IF(COUNTA(B352:C352)=0,"",344)</f>
        <v/>
      </c>
      <c r="B352" s="8"/>
      <c r="C352" s="9"/>
      <c r="D352" s="10" t="str">
        <f t="shared" si="30"/>
        <v/>
      </c>
      <c r="E352" s="1"/>
      <c r="F352" s="11" t="str">
        <f t="shared" si="31"/>
        <v/>
      </c>
      <c r="G352" s="11" t="str">
        <f t="shared" si="32"/>
        <v/>
      </c>
      <c r="H352" s="11" t="str">
        <f t="shared" si="33"/>
        <v/>
      </c>
      <c r="I352" s="12" t="str">
        <f t="shared" si="34"/>
        <v/>
      </c>
      <c r="J352" s="13" t="str">
        <f t="shared" si="35"/>
        <v/>
      </c>
    </row>
    <row r="353" spans="1:10" ht="23.1" customHeight="1">
      <c r="A353" s="1" t="str">
        <f>IF(COUNTA(B353:C353)=0,"",345)</f>
        <v/>
      </c>
      <c r="B353" s="8"/>
      <c r="C353" s="9"/>
      <c r="D353" s="10" t="str">
        <f t="shared" si="30"/>
        <v/>
      </c>
      <c r="E353" s="1"/>
      <c r="F353" s="11" t="str">
        <f t="shared" si="31"/>
        <v/>
      </c>
      <c r="G353" s="11" t="str">
        <f t="shared" si="32"/>
        <v/>
      </c>
      <c r="H353" s="11" t="str">
        <f t="shared" si="33"/>
        <v/>
      </c>
      <c r="I353" s="12" t="str">
        <f t="shared" si="34"/>
        <v/>
      </c>
      <c r="J353" s="13" t="str">
        <f t="shared" si="35"/>
        <v/>
      </c>
    </row>
    <row r="354" spans="1:10" ht="23.1" customHeight="1">
      <c r="A354" s="1" t="str">
        <f>IF(COUNTA(B354:C354)=0,"",346)</f>
        <v/>
      </c>
      <c r="B354" s="8"/>
      <c r="C354" s="9"/>
      <c r="D354" s="10" t="str">
        <f t="shared" si="30"/>
        <v/>
      </c>
      <c r="E354" s="1"/>
      <c r="F354" s="11" t="str">
        <f t="shared" si="31"/>
        <v/>
      </c>
      <c r="G354" s="11" t="str">
        <f t="shared" si="32"/>
        <v/>
      </c>
      <c r="H354" s="11" t="str">
        <f t="shared" si="33"/>
        <v/>
      </c>
      <c r="I354" s="12" t="str">
        <f t="shared" si="34"/>
        <v/>
      </c>
      <c r="J354" s="13" t="str">
        <f t="shared" si="35"/>
        <v/>
      </c>
    </row>
    <row r="355" spans="1:10" ht="23.1" customHeight="1">
      <c r="A355" s="1" t="str">
        <f>IF(COUNTA(B355:C355)=0,"",347)</f>
        <v/>
      </c>
      <c r="B355" s="8"/>
      <c r="C355" s="9"/>
      <c r="D355" s="10" t="str">
        <f t="shared" si="30"/>
        <v/>
      </c>
      <c r="E355" s="1"/>
      <c r="F355" s="11" t="str">
        <f t="shared" si="31"/>
        <v/>
      </c>
      <c r="G355" s="11" t="str">
        <f t="shared" si="32"/>
        <v/>
      </c>
      <c r="H355" s="11" t="str">
        <f t="shared" si="33"/>
        <v/>
      </c>
      <c r="I355" s="12" t="str">
        <f t="shared" si="34"/>
        <v/>
      </c>
      <c r="J355" s="13" t="str">
        <f t="shared" si="35"/>
        <v/>
      </c>
    </row>
    <row r="356" spans="1:10" ht="23.1" customHeight="1">
      <c r="A356" s="1" t="str">
        <f>IF(COUNTA(B356:C356)=0,"",348)</f>
        <v/>
      </c>
      <c r="B356" s="8"/>
      <c r="C356" s="9"/>
      <c r="D356" s="10" t="str">
        <f t="shared" si="30"/>
        <v/>
      </c>
      <c r="E356" s="1"/>
      <c r="F356" s="11" t="str">
        <f t="shared" si="31"/>
        <v/>
      </c>
      <c r="G356" s="11" t="str">
        <f t="shared" si="32"/>
        <v/>
      </c>
      <c r="H356" s="11" t="str">
        <f t="shared" si="33"/>
        <v/>
      </c>
      <c r="I356" s="12" t="str">
        <f t="shared" si="34"/>
        <v/>
      </c>
      <c r="J356" s="13" t="str">
        <f t="shared" si="35"/>
        <v/>
      </c>
    </row>
    <row r="357" spans="1:10" ht="23.1" customHeight="1">
      <c r="A357" s="1" t="str">
        <f>IF(COUNTA(B357:C357)=0,"",349)</f>
        <v/>
      </c>
      <c r="B357" s="8"/>
      <c r="C357" s="9"/>
      <c r="D357" s="10" t="str">
        <f t="shared" si="30"/>
        <v/>
      </c>
      <c r="E357" s="1"/>
      <c r="F357" s="11" t="str">
        <f t="shared" si="31"/>
        <v/>
      </c>
      <c r="G357" s="11" t="str">
        <f t="shared" si="32"/>
        <v/>
      </c>
      <c r="H357" s="11" t="str">
        <f t="shared" si="33"/>
        <v/>
      </c>
      <c r="I357" s="12" t="str">
        <f t="shared" si="34"/>
        <v/>
      </c>
      <c r="J357" s="13" t="str">
        <f t="shared" si="35"/>
        <v/>
      </c>
    </row>
    <row r="358" spans="1:10" ht="23.1" customHeight="1">
      <c r="A358" s="1" t="str">
        <f>IF(COUNTA(B358:C358)=0,"",350)</f>
        <v/>
      </c>
      <c r="B358" s="8"/>
      <c r="C358" s="9"/>
      <c r="D358" s="10" t="str">
        <f t="shared" si="30"/>
        <v/>
      </c>
      <c r="E358" s="1"/>
      <c r="F358" s="11" t="str">
        <f t="shared" si="31"/>
        <v/>
      </c>
      <c r="G358" s="11" t="str">
        <f t="shared" si="32"/>
        <v/>
      </c>
      <c r="H358" s="11" t="str">
        <f t="shared" si="33"/>
        <v/>
      </c>
      <c r="I358" s="12" t="str">
        <f t="shared" si="34"/>
        <v/>
      </c>
      <c r="J358" s="13" t="str">
        <f t="shared" si="35"/>
        <v/>
      </c>
    </row>
    <row r="359" spans="1:10" ht="23.1" customHeight="1">
      <c r="A359" s="1" t="str">
        <f>IF(COUNTA(B359:C359)=0,"",351)</f>
        <v/>
      </c>
      <c r="B359" s="8"/>
      <c r="C359" s="9"/>
      <c r="D359" s="10" t="str">
        <f t="shared" si="30"/>
        <v/>
      </c>
      <c r="E359" s="1"/>
      <c r="F359" s="11" t="str">
        <f t="shared" si="31"/>
        <v/>
      </c>
      <c r="G359" s="11" t="str">
        <f t="shared" si="32"/>
        <v/>
      </c>
      <c r="H359" s="11" t="str">
        <f t="shared" si="33"/>
        <v/>
      </c>
      <c r="I359" s="12" t="str">
        <f t="shared" si="34"/>
        <v/>
      </c>
      <c r="J359" s="13" t="str">
        <f t="shared" si="35"/>
        <v/>
      </c>
    </row>
    <row r="360" spans="1:10" ht="23.1" customHeight="1">
      <c r="A360" s="1" t="str">
        <f>IF(COUNTA(B360:C360)=0,"",352)</f>
        <v/>
      </c>
      <c r="B360" s="8"/>
      <c r="C360" s="9"/>
      <c r="D360" s="10" t="str">
        <f t="shared" si="30"/>
        <v/>
      </c>
      <c r="E360" s="1"/>
      <c r="F360" s="11" t="str">
        <f t="shared" si="31"/>
        <v/>
      </c>
      <c r="G360" s="11" t="str">
        <f t="shared" si="32"/>
        <v/>
      </c>
      <c r="H360" s="11" t="str">
        <f t="shared" si="33"/>
        <v/>
      </c>
      <c r="I360" s="12" t="str">
        <f t="shared" si="34"/>
        <v/>
      </c>
      <c r="J360" s="13" t="str">
        <f t="shared" si="35"/>
        <v/>
      </c>
    </row>
    <row r="361" spans="1:10" ht="23.1" customHeight="1">
      <c r="A361" s="1" t="str">
        <f>IF(COUNTA(B361:C361)=0,"",353)</f>
        <v/>
      </c>
      <c r="B361" s="8"/>
      <c r="C361" s="9"/>
      <c r="D361" s="10" t="str">
        <f t="shared" si="30"/>
        <v/>
      </c>
      <c r="E361" s="1"/>
      <c r="F361" s="11" t="str">
        <f t="shared" si="31"/>
        <v/>
      </c>
      <c r="G361" s="11" t="str">
        <f t="shared" si="32"/>
        <v/>
      </c>
      <c r="H361" s="11" t="str">
        <f t="shared" si="33"/>
        <v/>
      </c>
      <c r="I361" s="12" t="str">
        <f t="shared" si="34"/>
        <v/>
      </c>
      <c r="J361" s="13" t="str">
        <f t="shared" si="35"/>
        <v/>
      </c>
    </row>
    <row r="362" spans="1:10" ht="23.1" customHeight="1">
      <c r="A362" s="1" t="str">
        <f>IF(COUNTA(B362:C362)=0,"",354)</f>
        <v/>
      </c>
      <c r="B362" s="8"/>
      <c r="C362" s="9"/>
      <c r="D362" s="10" t="str">
        <f t="shared" si="30"/>
        <v/>
      </c>
      <c r="E362" s="1"/>
      <c r="F362" s="11" t="str">
        <f t="shared" si="31"/>
        <v/>
      </c>
      <c r="G362" s="11" t="str">
        <f t="shared" si="32"/>
        <v/>
      </c>
      <c r="H362" s="11" t="str">
        <f t="shared" si="33"/>
        <v/>
      </c>
      <c r="I362" s="12" t="str">
        <f t="shared" si="34"/>
        <v/>
      </c>
      <c r="J362" s="13" t="str">
        <f t="shared" si="35"/>
        <v/>
      </c>
    </row>
    <row r="363" spans="1:10" ht="23.1" customHeight="1">
      <c r="A363" s="1" t="str">
        <f>IF(COUNTA(B363:C363)=0,"",355)</f>
        <v/>
      </c>
      <c r="B363" s="8"/>
      <c r="C363" s="9"/>
      <c r="D363" s="10" t="str">
        <f t="shared" si="30"/>
        <v/>
      </c>
      <c r="E363" s="1"/>
      <c r="F363" s="11" t="str">
        <f t="shared" si="31"/>
        <v/>
      </c>
      <c r="G363" s="11" t="str">
        <f t="shared" si="32"/>
        <v/>
      </c>
      <c r="H363" s="11" t="str">
        <f t="shared" si="33"/>
        <v/>
      </c>
      <c r="I363" s="12" t="str">
        <f t="shared" si="34"/>
        <v/>
      </c>
      <c r="J363" s="13" t="str">
        <f t="shared" si="35"/>
        <v/>
      </c>
    </row>
    <row r="364" spans="1:10" ht="23.1" customHeight="1">
      <c r="A364" s="1" t="str">
        <f>IF(COUNTA(B364:C364)=0,"",356)</f>
        <v/>
      </c>
      <c r="B364" s="8"/>
      <c r="C364" s="9"/>
      <c r="D364" s="10" t="str">
        <f t="shared" si="30"/>
        <v/>
      </c>
      <c r="E364" s="1"/>
      <c r="F364" s="11" t="str">
        <f t="shared" si="31"/>
        <v/>
      </c>
      <c r="G364" s="11" t="str">
        <f t="shared" si="32"/>
        <v/>
      </c>
      <c r="H364" s="11" t="str">
        <f t="shared" si="33"/>
        <v/>
      </c>
      <c r="I364" s="12" t="str">
        <f t="shared" si="34"/>
        <v/>
      </c>
      <c r="J364" s="13" t="str">
        <f t="shared" si="35"/>
        <v/>
      </c>
    </row>
    <row r="365" spans="1:10" ht="23.1" customHeight="1">
      <c r="A365" s="1" t="str">
        <f>IF(COUNTA(B365:C365)=0,"",357)</f>
        <v/>
      </c>
      <c r="B365" s="8"/>
      <c r="C365" s="9"/>
      <c r="D365" s="10" t="str">
        <f t="shared" si="30"/>
        <v/>
      </c>
      <c r="E365" s="1"/>
      <c r="F365" s="11" t="str">
        <f t="shared" si="31"/>
        <v/>
      </c>
      <c r="G365" s="11" t="str">
        <f t="shared" si="32"/>
        <v/>
      </c>
      <c r="H365" s="11" t="str">
        <f t="shared" si="33"/>
        <v/>
      </c>
      <c r="I365" s="12" t="str">
        <f t="shared" si="34"/>
        <v/>
      </c>
      <c r="J365" s="13" t="str">
        <f t="shared" si="35"/>
        <v/>
      </c>
    </row>
    <row r="366" spans="1:10" ht="23.1" customHeight="1">
      <c r="A366" s="1" t="str">
        <f>IF(COUNTA(B366:C366)=0,"",358)</f>
        <v/>
      </c>
      <c r="B366" s="8"/>
      <c r="C366" s="9"/>
      <c r="D366" s="10" t="str">
        <f t="shared" si="30"/>
        <v/>
      </c>
      <c r="E366" s="1"/>
      <c r="F366" s="11" t="str">
        <f t="shared" si="31"/>
        <v/>
      </c>
      <c r="G366" s="11" t="str">
        <f t="shared" si="32"/>
        <v/>
      </c>
      <c r="H366" s="11" t="str">
        <f t="shared" si="33"/>
        <v/>
      </c>
      <c r="I366" s="12" t="str">
        <f t="shared" si="34"/>
        <v/>
      </c>
      <c r="J366" s="13" t="str">
        <f t="shared" si="35"/>
        <v/>
      </c>
    </row>
    <row r="367" spans="1:10" ht="23.1" customHeight="1">
      <c r="A367" s="1" t="str">
        <f>IF(COUNTA(B367:C367)=0,"",359)</f>
        <v/>
      </c>
      <c r="B367" s="8"/>
      <c r="C367" s="9"/>
      <c r="D367" s="10" t="str">
        <f t="shared" si="30"/>
        <v/>
      </c>
      <c r="E367" s="1"/>
      <c r="F367" s="11" t="str">
        <f t="shared" si="31"/>
        <v/>
      </c>
      <c r="G367" s="11" t="str">
        <f t="shared" si="32"/>
        <v/>
      </c>
      <c r="H367" s="11" t="str">
        <f t="shared" si="33"/>
        <v/>
      </c>
      <c r="I367" s="12" t="str">
        <f t="shared" si="34"/>
        <v/>
      </c>
      <c r="J367" s="13" t="str">
        <f t="shared" si="35"/>
        <v/>
      </c>
    </row>
    <row r="368" spans="1:10" ht="23.1" customHeight="1">
      <c r="A368" s="1" t="str">
        <f>IF(COUNTA(B368:C368)=0,"",360)</f>
        <v/>
      </c>
      <c r="B368" s="8"/>
      <c r="C368" s="9"/>
      <c r="D368" s="10" t="str">
        <f t="shared" si="30"/>
        <v/>
      </c>
      <c r="E368" s="1"/>
      <c r="F368" s="11" t="str">
        <f t="shared" si="31"/>
        <v/>
      </c>
      <c r="G368" s="11" t="str">
        <f t="shared" si="32"/>
        <v/>
      </c>
      <c r="H368" s="11" t="str">
        <f t="shared" si="33"/>
        <v/>
      </c>
      <c r="I368" s="12" t="str">
        <f t="shared" si="34"/>
        <v/>
      </c>
      <c r="J368" s="13" t="str">
        <f t="shared" si="35"/>
        <v/>
      </c>
    </row>
    <row r="369" spans="1:10" ht="23.1" customHeight="1">
      <c r="A369" s="1" t="str">
        <f>IF(COUNTA(B369:C369)=0,"",361)</f>
        <v/>
      </c>
      <c r="B369" s="8"/>
      <c r="C369" s="9"/>
      <c r="D369" s="10" t="str">
        <f t="shared" si="30"/>
        <v/>
      </c>
      <c r="E369" s="1"/>
      <c r="F369" s="11" t="str">
        <f t="shared" si="31"/>
        <v/>
      </c>
      <c r="G369" s="11" t="str">
        <f t="shared" si="32"/>
        <v/>
      </c>
      <c r="H369" s="11" t="str">
        <f t="shared" si="33"/>
        <v/>
      </c>
      <c r="I369" s="12" t="str">
        <f t="shared" si="34"/>
        <v/>
      </c>
      <c r="J369" s="13" t="str">
        <f t="shared" si="35"/>
        <v/>
      </c>
    </row>
    <row r="370" spans="1:10" ht="23.1" customHeight="1">
      <c r="A370" s="1" t="str">
        <f>IF(COUNTA(B370:C370)=0,"",362)</f>
        <v/>
      </c>
      <c r="B370" s="8"/>
      <c r="C370" s="9"/>
      <c r="D370" s="10" t="str">
        <f t="shared" si="30"/>
        <v/>
      </c>
      <c r="E370" s="1"/>
      <c r="F370" s="11" t="str">
        <f t="shared" si="31"/>
        <v/>
      </c>
      <c r="G370" s="11" t="str">
        <f t="shared" si="32"/>
        <v/>
      </c>
      <c r="H370" s="11" t="str">
        <f t="shared" si="33"/>
        <v/>
      </c>
      <c r="I370" s="12" t="str">
        <f t="shared" si="34"/>
        <v/>
      </c>
      <c r="J370" s="13" t="str">
        <f t="shared" si="35"/>
        <v/>
      </c>
    </row>
    <row r="371" spans="1:10" ht="23.1" customHeight="1">
      <c r="A371" s="1" t="str">
        <f>IF(COUNTA(B371:C371)=0,"",363)</f>
        <v/>
      </c>
      <c r="B371" s="8"/>
      <c r="C371" s="9"/>
      <c r="D371" s="10" t="str">
        <f t="shared" si="30"/>
        <v/>
      </c>
      <c r="E371" s="1"/>
      <c r="F371" s="11" t="str">
        <f t="shared" si="31"/>
        <v/>
      </c>
      <c r="G371" s="11" t="str">
        <f t="shared" si="32"/>
        <v/>
      </c>
      <c r="H371" s="11" t="str">
        <f t="shared" si="33"/>
        <v/>
      </c>
      <c r="I371" s="12" t="str">
        <f t="shared" si="34"/>
        <v/>
      </c>
      <c r="J371" s="13" t="str">
        <f t="shared" si="35"/>
        <v/>
      </c>
    </row>
    <row r="372" spans="1:10" ht="23.1" customHeight="1">
      <c r="A372" s="1" t="str">
        <f>IF(COUNTA(B372:C372)=0,"",364)</f>
        <v/>
      </c>
      <c r="B372" s="8"/>
      <c r="C372" s="9"/>
      <c r="D372" s="10" t="str">
        <f t="shared" si="30"/>
        <v/>
      </c>
      <c r="E372" s="1"/>
      <c r="F372" s="11" t="str">
        <f t="shared" si="31"/>
        <v/>
      </c>
      <c r="G372" s="11" t="str">
        <f t="shared" si="32"/>
        <v/>
      </c>
      <c r="H372" s="11" t="str">
        <f t="shared" si="33"/>
        <v/>
      </c>
      <c r="I372" s="12" t="str">
        <f t="shared" si="34"/>
        <v/>
      </c>
      <c r="J372" s="13" t="str">
        <f t="shared" si="35"/>
        <v/>
      </c>
    </row>
    <row r="373" spans="1:10" ht="23.1" customHeight="1">
      <c r="A373" s="1" t="str">
        <f>IF(COUNTA(B373:C373)=0,"",365)</f>
        <v/>
      </c>
      <c r="B373" s="8"/>
      <c r="C373" s="9"/>
      <c r="D373" s="10" t="str">
        <f t="shared" si="30"/>
        <v/>
      </c>
      <c r="E373" s="1"/>
      <c r="F373" s="11" t="str">
        <f t="shared" si="31"/>
        <v/>
      </c>
      <c r="G373" s="11" t="str">
        <f t="shared" si="32"/>
        <v/>
      </c>
      <c r="H373" s="11" t="str">
        <f t="shared" si="33"/>
        <v/>
      </c>
      <c r="I373" s="12" t="str">
        <f t="shared" si="34"/>
        <v/>
      </c>
      <c r="J373" s="13" t="str">
        <f t="shared" si="35"/>
        <v/>
      </c>
    </row>
    <row r="374" spans="1:10" ht="23.1" customHeight="1">
      <c r="A374" s="1" t="str">
        <f>IF(COUNTA(B374:C374)=0,"",366)</f>
        <v/>
      </c>
      <c r="B374" s="8"/>
      <c r="C374" s="9"/>
      <c r="D374" s="10" t="str">
        <f t="shared" si="30"/>
        <v/>
      </c>
      <c r="E374" s="1"/>
      <c r="F374" s="11" t="str">
        <f t="shared" si="31"/>
        <v/>
      </c>
      <c r="G374" s="11" t="str">
        <f t="shared" si="32"/>
        <v/>
      </c>
      <c r="H374" s="11" t="str">
        <f t="shared" si="33"/>
        <v/>
      </c>
      <c r="I374" s="12" t="str">
        <f t="shared" si="34"/>
        <v/>
      </c>
      <c r="J374" s="13" t="str">
        <f t="shared" si="35"/>
        <v/>
      </c>
    </row>
    <row r="375" spans="1:10" ht="23.1" customHeight="1">
      <c r="A375" s="1" t="str">
        <f>IF(COUNTA(B375:C375)=0,"",367)</f>
        <v/>
      </c>
      <c r="B375" s="8"/>
      <c r="C375" s="9"/>
      <c r="D375" s="10" t="str">
        <f t="shared" si="30"/>
        <v/>
      </c>
      <c r="E375" s="1"/>
      <c r="F375" s="11" t="str">
        <f t="shared" si="31"/>
        <v/>
      </c>
      <c r="G375" s="11" t="str">
        <f t="shared" si="32"/>
        <v/>
      </c>
      <c r="H375" s="11" t="str">
        <f t="shared" si="33"/>
        <v/>
      </c>
      <c r="I375" s="12" t="str">
        <f t="shared" si="34"/>
        <v/>
      </c>
      <c r="J375" s="13" t="str">
        <f t="shared" si="35"/>
        <v/>
      </c>
    </row>
    <row r="376" spans="1:10" ht="23.1" customHeight="1">
      <c r="A376" s="1" t="str">
        <f>IF(COUNTA(B376:C376)=0,"",368)</f>
        <v/>
      </c>
      <c r="B376" s="8"/>
      <c r="C376" s="9"/>
      <c r="D376" s="10" t="str">
        <f t="shared" si="30"/>
        <v/>
      </c>
      <c r="E376" s="1"/>
      <c r="F376" s="11" t="str">
        <f t="shared" si="31"/>
        <v/>
      </c>
      <c r="G376" s="11" t="str">
        <f t="shared" si="32"/>
        <v/>
      </c>
      <c r="H376" s="11" t="str">
        <f t="shared" si="33"/>
        <v/>
      </c>
      <c r="I376" s="12" t="str">
        <f t="shared" si="34"/>
        <v/>
      </c>
      <c r="J376" s="13" t="str">
        <f t="shared" si="35"/>
        <v/>
      </c>
    </row>
    <row r="377" spans="1:10" ht="23.1" customHeight="1">
      <c r="A377" s="1" t="str">
        <f>IF(COUNTA(B377:C377)=0,"",369)</f>
        <v/>
      </c>
      <c r="B377" s="8"/>
      <c r="C377" s="9"/>
      <c r="D377" s="10" t="str">
        <f t="shared" si="30"/>
        <v/>
      </c>
      <c r="E377" s="1"/>
      <c r="F377" s="11" t="str">
        <f t="shared" si="31"/>
        <v/>
      </c>
      <c r="G377" s="11" t="str">
        <f t="shared" si="32"/>
        <v/>
      </c>
      <c r="H377" s="11" t="str">
        <f t="shared" si="33"/>
        <v/>
      </c>
      <c r="I377" s="12" t="str">
        <f t="shared" si="34"/>
        <v/>
      </c>
      <c r="J377" s="13" t="str">
        <f t="shared" si="35"/>
        <v/>
      </c>
    </row>
    <row r="378" spans="1:10" ht="23.1" customHeight="1">
      <c r="A378" s="1" t="str">
        <f>IF(COUNTA(B378:C378)=0,"",370)</f>
        <v/>
      </c>
      <c r="B378" s="8"/>
      <c r="C378" s="9"/>
      <c r="D378" s="10" t="str">
        <f t="shared" si="30"/>
        <v/>
      </c>
      <c r="E378" s="1"/>
      <c r="F378" s="11" t="str">
        <f t="shared" si="31"/>
        <v/>
      </c>
      <c r="G378" s="11" t="str">
        <f t="shared" si="32"/>
        <v/>
      </c>
      <c r="H378" s="11" t="str">
        <f t="shared" si="33"/>
        <v/>
      </c>
      <c r="I378" s="12" t="str">
        <f t="shared" si="34"/>
        <v/>
      </c>
      <c r="J378" s="13" t="str">
        <f t="shared" si="35"/>
        <v/>
      </c>
    </row>
    <row r="379" spans="1:10" ht="23.1" customHeight="1">
      <c r="A379" s="1" t="str">
        <f>IF(COUNTA(B379:C379)=0,"",371)</f>
        <v/>
      </c>
      <c r="B379" s="8"/>
      <c r="C379" s="9"/>
      <c r="D379" s="10" t="str">
        <f t="shared" si="30"/>
        <v/>
      </c>
      <c r="E379" s="1"/>
      <c r="F379" s="11" t="str">
        <f t="shared" si="31"/>
        <v/>
      </c>
      <c r="G379" s="11" t="str">
        <f t="shared" si="32"/>
        <v/>
      </c>
      <c r="H379" s="11" t="str">
        <f t="shared" si="33"/>
        <v/>
      </c>
      <c r="I379" s="12" t="str">
        <f t="shared" si="34"/>
        <v/>
      </c>
      <c r="J379" s="13" t="str">
        <f t="shared" si="35"/>
        <v/>
      </c>
    </row>
    <row r="380" spans="1:10" ht="23.1" customHeight="1">
      <c r="A380" s="1" t="str">
        <f>IF(COUNTA(B380:C380)=0,"",372)</f>
        <v/>
      </c>
      <c r="B380" s="8"/>
      <c r="C380" s="9"/>
      <c r="D380" s="10" t="str">
        <f t="shared" si="30"/>
        <v/>
      </c>
      <c r="E380" s="1"/>
      <c r="F380" s="11" t="str">
        <f t="shared" si="31"/>
        <v/>
      </c>
      <c r="G380" s="11" t="str">
        <f t="shared" si="32"/>
        <v/>
      </c>
      <c r="H380" s="11" t="str">
        <f t="shared" si="33"/>
        <v/>
      </c>
      <c r="I380" s="12" t="str">
        <f t="shared" si="34"/>
        <v/>
      </c>
      <c r="J380" s="13" t="str">
        <f t="shared" si="35"/>
        <v/>
      </c>
    </row>
    <row r="381" spans="1:10" ht="23.1" customHeight="1">
      <c r="A381" s="1" t="str">
        <f>IF(COUNTA(B381:C381)=0,"",373)</f>
        <v/>
      </c>
      <c r="B381" s="8"/>
      <c r="C381" s="9"/>
      <c r="D381" s="10" t="str">
        <f t="shared" si="30"/>
        <v/>
      </c>
      <c r="E381" s="1"/>
      <c r="F381" s="11" t="str">
        <f t="shared" si="31"/>
        <v/>
      </c>
      <c r="G381" s="11" t="str">
        <f t="shared" si="32"/>
        <v/>
      </c>
      <c r="H381" s="11" t="str">
        <f t="shared" si="33"/>
        <v/>
      </c>
      <c r="I381" s="12" t="str">
        <f t="shared" si="34"/>
        <v/>
      </c>
      <c r="J381" s="13" t="str">
        <f t="shared" si="35"/>
        <v/>
      </c>
    </row>
    <row r="382" spans="1:10" ht="23.1" customHeight="1">
      <c r="A382" s="1" t="str">
        <f>IF(COUNTA(B382:C382)=0,"",374)</f>
        <v/>
      </c>
      <c r="B382" s="8"/>
      <c r="C382" s="9"/>
      <c r="D382" s="10" t="str">
        <f t="shared" si="30"/>
        <v/>
      </c>
      <c r="E382" s="1"/>
      <c r="F382" s="11" t="str">
        <f t="shared" si="31"/>
        <v/>
      </c>
      <c r="G382" s="11" t="str">
        <f t="shared" si="32"/>
        <v/>
      </c>
      <c r="H382" s="11" t="str">
        <f t="shared" si="33"/>
        <v/>
      </c>
      <c r="I382" s="12" t="str">
        <f t="shared" si="34"/>
        <v/>
      </c>
      <c r="J382" s="13" t="str">
        <f t="shared" si="35"/>
        <v/>
      </c>
    </row>
    <row r="383" spans="1:10" ht="23.1" customHeight="1">
      <c r="A383" s="1" t="str">
        <f>IF(COUNTA(B383:C383)=0,"",375)</f>
        <v/>
      </c>
      <c r="B383" s="8"/>
      <c r="C383" s="9"/>
      <c r="D383" s="10" t="str">
        <f t="shared" si="30"/>
        <v/>
      </c>
      <c r="E383" s="1"/>
      <c r="F383" s="11" t="str">
        <f t="shared" si="31"/>
        <v/>
      </c>
      <c r="G383" s="11" t="str">
        <f t="shared" si="32"/>
        <v/>
      </c>
      <c r="H383" s="11" t="str">
        <f t="shared" si="33"/>
        <v/>
      </c>
      <c r="I383" s="12" t="str">
        <f t="shared" si="34"/>
        <v/>
      </c>
      <c r="J383" s="13" t="str">
        <f t="shared" si="35"/>
        <v/>
      </c>
    </row>
    <row r="384" spans="1:10" ht="23.1" customHeight="1">
      <c r="A384" s="1" t="str">
        <f>IF(COUNTA(B384:C384)=0,"",376)</f>
        <v/>
      </c>
      <c r="B384" s="8"/>
      <c r="C384" s="9"/>
      <c r="D384" s="10" t="str">
        <f t="shared" si="30"/>
        <v/>
      </c>
      <c r="E384" s="1"/>
      <c r="F384" s="11" t="str">
        <f t="shared" si="31"/>
        <v/>
      </c>
      <c r="G384" s="11" t="str">
        <f t="shared" si="32"/>
        <v/>
      </c>
      <c r="H384" s="11" t="str">
        <f t="shared" si="33"/>
        <v/>
      </c>
      <c r="I384" s="12" t="str">
        <f t="shared" si="34"/>
        <v/>
      </c>
      <c r="J384" s="13" t="str">
        <f t="shared" si="35"/>
        <v/>
      </c>
    </row>
    <row r="385" spans="1:10" ht="23.1" customHeight="1">
      <c r="A385" s="1" t="str">
        <f>IF(COUNTA(B385:C385)=0,"",377)</f>
        <v/>
      </c>
      <c r="B385" s="8"/>
      <c r="C385" s="9"/>
      <c r="D385" s="10" t="str">
        <f t="shared" si="30"/>
        <v/>
      </c>
      <c r="E385" s="1"/>
      <c r="F385" s="11" t="str">
        <f t="shared" si="31"/>
        <v/>
      </c>
      <c r="G385" s="11" t="str">
        <f t="shared" si="32"/>
        <v/>
      </c>
      <c r="H385" s="11" t="str">
        <f t="shared" si="33"/>
        <v/>
      </c>
      <c r="I385" s="12" t="str">
        <f t="shared" si="34"/>
        <v/>
      </c>
      <c r="J385" s="13" t="str">
        <f t="shared" si="35"/>
        <v/>
      </c>
    </row>
    <row r="386" spans="1:10" ht="23.1" customHeight="1">
      <c r="A386" s="1" t="str">
        <f>IF(COUNTA(B386:C386)=0,"",378)</f>
        <v/>
      </c>
      <c r="B386" s="8"/>
      <c r="C386" s="9"/>
      <c r="D386" s="10" t="str">
        <f t="shared" si="30"/>
        <v/>
      </c>
      <c r="E386" s="1"/>
      <c r="F386" s="11" t="str">
        <f t="shared" si="31"/>
        <v/>
      </c>
      <c r="G386" s="11" t="str">
        <f t="shared" si="32"/>
        <v/>
      </c>
      <c r="H386" s="11" t="str">
        <f t="shared" si="33"/>
        <v/>
      </c>
      <c r="I386" s="12" t="str">
        <f t="shared" si="34"/>
        <v/>
      </c>
      <c r="J386" s="13" t="str">
        <f t="shared" si="35"/>
        <v/>
      </c>
    </row>
    <row r="387" spans="1:10" ht="23.1" customHeight="1">
      <c r="A387" s="1" t="str">
        <f>IF(COUNTA(B387:C387)=0,"",379)</f>
        <v/>
      </c>
      <c r="B387" s="8"/>
      <c r="C387" s="9"/>
      <c r="D387" s="10" t="str">
        <f t="shared" si="30"/>
        <v/>
      </c>
      <c r="E387" s="1"/>
      <c r="F387" s="11" t="str">
        <f t="shared" si="31"/>
        <v/>
      </c>
      <c r="G387" s="11" t="str">
        <f t="shared" si="32"/>
        <v/>
      </c>
      <c r="H387" s="11" t="str">
        <f t="shared" si="33"/>
        <v/>
      </c>
      <c r="I387" s="12" t="str">
        <f t="shared" si="34"/>
        <v/>
      </c>
      <c r="J387" s="13" t="str">
        <f t="shared" si="35"/>
        <v/>
      </c>
    </row>
    <row r="388" spans="1:10" ht="23.1" customHeight="1">
      <c r="A388" s="1" t="str">
        <f>IF(COUNTA(B388:C388)=0,"",380)</f>
        <v/>
      </c>
      <c r="B388" s="8"/>
      <c r="C388" s="9"/>
      <c r="D388" s="10" t="str">
        <f t="shared" si="30"/>
        <v/>
      </c>
      <c r="E388" s="1"/>
      <c r="F388" s="11" t="str">
        <f t="shared" si="31"/>
        <v/>
      </c>
      <c r="G388" s="11" t="str">
        <f t="shared" si="32"/>
        <v/>
      </c>
      <c r="H388" s="11" t="str">
        <f t="shared" si="33"/>
        <v/>
      </c>
      <c r="I388" s="12" t="str">
        <f t="shared" si="34"/>
        <v/>
      </c>
      <c r="J388" s="13" t="str">
        <f t="shared" si="35"/>
        <v/>
      </c>
    </row>
    <row r="389" spans="1:10" ht="23.1" customHeight="1">
      <c r="A389" s="1" t="str">
        <f>IF(COUNTA(B389:C389)=0,"",381)</f>
        <v/>
      </c>
      <c r="B389" s="8"/>
      <c r="C389" s="9"/>
      <c r="D389" s="10" t="str">
        <f t="shared" si="30"/>
        <v/>
      </c>
      <c r="E389" s="1"/>
      <c r="F389" s="11" t="str">
        <f t="shared" si="31"/>
        <v/>
      </c>
      <c r="G389" s="11" t="str">
        <f t="shared" si="32"/>
        <v/>
      </c>
      <c r="H389" s="11" t="str">
        <f t="shared" si="33"/>
        <v/>
      </c>
      <c r="I389" s="12" t="str">
        <f t="shared" si="34"/>
        <v/>
      </c>
      <c r="J389" s="13" t="str">
        <f t="shared" si="35"/>
        <v/>
      </c>
    </row>
    <row r="390" spans="1:10" ht="23.1" customHeight="1">
      <c r="A390" s="1" t="str">
        <f>IF(COUNTA(B390:C390)=0,"",382)</f>
        <v/>
      </c>
      <c r="B390" s="8"/>
      <c r="C390" s="9"/>
      <c r="D390" s="10" t="str">
        <f t="shared" si="30"/>
        <v/>
      </c>
      <c r="E390" s="1"/>
      <c r="F390" s="11" t="str">
        <f t="shared" si="31"/>
        <v/>
      </c>
      <c r="G390" s="11" t="str">
        <f t="shared" si="32"/>
        <v/>
      </c>
      <c r="H390" s="11" t="str">
        <f t="shared" si="33"/>
        <v/>
      </c>
      <c r="I390" s="12" t="str">
        <f t="shared" si="34"/>
        <v/>
      </c>
      <c r="J390" s="13" t="str">
        <f t="shared" si="35"/>
        <v/>
      </c>
    </row>
    <row r="391" spans="1:10" ht="23.1" customHeight="1">
      <c r="A391" s="1" t="str">
        <f>IF(COUNTA(B391:C391)=0,"",383)</f>
        <v/>
      </c>
      <c r="B391" s="8"/>
      <c r="C391" s="9"/>
      <c r="D391" s="10" t="str">
        <f t="shared" si="30"/>
        <v/>
      </c>
      <c r="E391" s="1"/>
      <c r="F391" s="11" t="str">
        <f t="shared" si="31"/>
        <v/>
      </c>
      <c r="G391" s="11" t="str">
        <f t="shared" si="32"/>
        <v/>
      </c>
      <c r="H391" s="11" t="str">
        <f t="shared" si="33"/>
        <v/>
      </c>
      <c r="I391" s="12" t="str">
        <f t="shared" si="34"/>
        <v/>
      </c>
      <c r="J391" s="13" t="str">
        <f t="shared" si="35"/>
        <v/>
      </c>
    </row>
    <row r="392" spans="1:10" ht="23.1" customHeight="1">
      <c r="A392" s="1" t="str">
        <f>IF(COUNTA(B392:C392)=0,"",384)</f>
        <v/>
      </c>
      <c r="B392" s="8"/>
      <c r="C392" s="9"/>
      <c r="D392" s="10" t="str">
        <f t="shared" si="30"/>
        <v/>
      </c>
      <c r="E392" s="1"/>
      <c r="F392" s="11" t="str">
        <f t="shared" si="31"/>
        <v/>
      </c>
      <c r="G392" s="11" t="str">
        <f t="shared" si="32"/>
        <v/>
      </c>
      <c r="H392" s="11" t="str">
        <f t="shared" si="33"/>
        <v/>
      </c>
      <c r="I392" s="12" t="str">
        <f t="shared" si="34"/>
        <v/>
      </c>
      <c r="J392" s="13" t="str">
        <f t="shared" si="35"/>
        <v/>
      </c>
    </row>
    <row r="393" spans="1:10" ht="23.1" customHeight="1">
      <c r="A393" s="1" t="str">
        <f>IF(COUNTA(B393:C393)=0,"",385)</f>
        <v/>
      </c>
      <c r="B393" s="8"/>
      <c r="C393" s="9"/>
      <c r="D393" s="10" t="str">
        <f t="shared" ref="D393:D456" si="36">IF(NOT(ISNUMBER(C393)),"",ROUND(C393*30%,2))</f>
        <v/>
      </c>
      <c r="E393" s="1"/>
      <c r="F393" s="11" t="str">
        <f t="shared" ref="F393:F456" si="37">IF(NOT(ISNUMBER(C393)),"",ROUND(H393*30%,2))</f>
        <v/>
      </c>
      <c r="G393" s="11" t="str">
        <f t="shared" ref="G393:G456" si="38">IF(NOT(ISNUMBER(C393)),"",ROUND(H393-F393,2))</f>
        <v/>
      </c>
      <c r="H393" s="11" t="str">
        <f t="shared" ref="H393:H456" si="39">IF(NOT(ISNUMBER(C393)),"",ROUND(C393-D393,2))</f>
        <v/>
      </c>
      <c r="I393" s="12" t="str">
        <f t="shared" ref="I393:I456" si="40">IF(NOT(ISNUMBER(C393)),"",ROUND(C393-SUM(D393,F393:G393),2))</f>
        <v/>
      </c>
      <c r="J393" s="13" t="str">
        <f t="shared" ref="J393:J456" si="41">IF(COUNTA(B393:C393)=0,"",IF(B393="","Falta apartamento",IF(NOT(ISNUMBER(C393)),"Falta valor","Completo")))</f>
        <v/>
      </c>
    </row>
    <row r="394" spans="1:10" ht="23.1" customHeight="1">
      <c r="A394" s="1" t="str">
        <f>IF(COUNTA(B394:C394)=0,"",386)</f>
        <v/>
      </c>
      <c r="B394" s="8"/>
      <c r="C394" s="9"/>
      <c r="D394" s="10" t="str">
        <f t="shared" si="36"/>
        <v/>
      </c>
      <c r="E394" s="1"/>
      <c r="F394" s="11" t="str">
        <f t="shared" si="37"/>
        <v/>
      </c>
      <c r="G394" s="11" t="str">
        <f t="shared" si="38"/>
        <v/>
      </c>
      <c r="H394" s="11" t="str">
        <f t="shared" si="39"/>
        <v/>
      </c>
      <c r="I394" s="12" t="str">
        <f t="shared" si="40"/>
        <v/>
      </c>
      <c r="J394" s="13" t="str">
        <f t="shared" si="41"/>
        <v/>
      </c>
    </row>
    <row r="395" spans="1:10" ht="23.1" customHeight="1">
      <c r="A395" s="1" t="str">
        <f>IF(COUNTA(B395:C395)=0,"",387)</f>
        <v/>
      </c>
      <c r="B395" s="8"/>
      <c r="C395" s="9"/>
      <c r="D395" s="10" t="str">
        <f t="shared" si="36"/>
        <v/>
      </c>
      <c r="E395" s="1"/>
      <c r="F395" s="11" t="str">
        <f t="shared" si="37"/>
        <v/>
      </c>
      <c r="G395" s="11" t="str">
        <f t="shared" si="38"/>
        <v/>
      </c>
      <c r="H395" s="11" t="str">
        <f t="shared" si="39"/>
        <v/>
      </c>
      <c r="I395" s="12" t="str">
        <f t="shared" si="40"/>
        <v/>
      </c>
      <c r="J395" s="13" t="str">
        <f t="shared" si="41"/>
        <v/>
      </c>
    </row>
    <row r="396" spans="1:10" ht="23.1" customHeight="1">
      <c r="A396" s="1" t="str">
        <f>IF(COUNTA(B396:C396)=0,"",388)</f>
        <v/>
      </c>
      <c r="B396" s="8"/>
      <c r="C396" s="9"/>
      <c r="D396" s="10" t="str">
        <f t="shared" si="36"/>
        <v/>
      </c>
      <c r="E396" s="1"/>
      <c r="F396" s="11" t="str">
        <f t="shared" si="37"/>
        <v/>
      </c>
      <c r="G396" s="11" t="str">
        <f t="shared" si="38"/>
        <v/>
      </c>
      <c r="H396" s="11" t="str">
        <f t="shared" si="39"/>
        <v/>
      </c>
      <c r="I396" s="12" t="str">
        <f t="shared" si="40"/>
        <v/>
      </c>
      <c r="J396" s="13" t="str">
        <f t="shared" si="41"/>
        <v/>
      </c>
    </row>
    <row r="397" spans="1:10" ht="23.1" customHeight="1">
      <c r="A397" s="1" t="str">
        <f>IF(COUNTA(B397:C397)=0,"",389)</f>
        <v/>
      </c>
      <c r="B397" s="8"/>
      <c r="C397" s="9"/>
      <c r="D397" s="10" t="str">
        <f t="shared" si="36"/>
        <v/>
      </c>
      <c r="E397" s="1"/>
      <c r="F397" s="11" t="str">
        <f t="shared" si="37"/>
        <v/>
      </c>
      <c r="G397" s="11" t="str">
        <f t="shared" si="38"/>
        <v/>
      </c>
      <c r="H397" s="11" t="str">
        <f t="shared" si="39"/>
        <v/>
      </c>
      <c r="I397" s="12" t="str">
        <f t="shared" si="40"/>
        <v/>
      </c>
      <c r="J397" s="13" t="str">
        <f t="shared" si="41"/>
        <v/>
      </c>
    </row>
    <row r="398" spans="1:10" ht="23.1" customHeight="1">
      <c r="A398" s="1" t="str">
        <f>IF(COUNTA(B398:C398)=0,"",390)</f>
        <v/>
      </c>
      <c r="B398" s="8"/>
      <c r="C398" s="9"/>
      <c r="D398" s="10" t="str">
        <f t="shared" si="36"/>
        <v/>
      </c>
      <c r="E398" s="1"/>
      <c r="F398" s="11" t="str">
        <f t="shared" si="37"/>
        <v/>
      </c>
      <c r="G398" s="11" t="str">
        <f t="shared" si="38"/>
        <v/>
      </c>
      <c r="H398" s="11" t="str">
        <f t="shared" si="39"/>
        <v/>
      </c>
      <c r="I398" s="12" t="str">
        <f t="shared" si="40"/>
        <v/>
      </c>
      <c r="J398" s="13" t="str">
        <f t="shared" si="41"/>
        <v/>
      </c>
    </row>
    <row r="399" spans="1:10" ht="23.1" customHeight="1">
      <c r="A399" s="1" t="str">
        <f>IF(COUNTA(B399:C399)=0,"",391)</f>
        <v/>
      </c>
      <c r="B399" s="8"/>
      <c r="C399" s="9"/>
      <c r="D399" s="10" t="str">
        <f t="shared" si="36"/>
        <v/>
      </c>
      <c r="E399" s="1"/>
      <c r="F399" s="11" t="str">
        <f t="shared" si="37"/>
        <v/>
      </c>
      <c r="G399" s="11" t="str">
        <f t="shared" si="38"/>
        <v/>
      </c>
      <c r="H399" s="11" t="str">
        <f t="shared" si="39"/>
        <v/>
      </c>
      <c r="I399" s="12" t="str">
        <f t="shared" si="40"/>
        <v/>
      </c>
      <c r="J399" s="13" t="str">
        <f t="shared" si="41"/>
        <v/>
      </c>
    </row>
    <row r="400" spans="1:10" ht="23.1" customHeight="1">
      <c r="A400" s="1" t="str">
        <f>IF(COUNTA(B400:C400)=0,"",392)</f>
        <v/>
      </c>
      <c r="B400" s="8"/>
      <c r="C400" s="9"/>
      <c r="D400" s="10" t="str">
        <f t="shared" si="36"/>
        <v/>
      </c>
      <c r="E400" s="1"/>
      <c r="F400" s="11" t="str">
        <f t="shared" si="37"/>
        <v/>
      </c>
      <c r="G400" s="11" t="str">
        <f t="shared" si="38"/>
        <v/>
      </c>
      <c r="H400" s="11" t="str">
        <f t="shared" si="39"/>
        <v/>
      </c>
      <c r="I400" s="12" t="str">
        <f t="shared" si="40"/>
        <v/>
      </c>
      <c r="J400" s="13" t="str">
        <f t="shared" si="41"/>
        <v/>
      </c>
    </row>
    <row r="401" spans="1:10" ht="23.1" customHeight="1">
      <c r="A401" s="1" t="str">
        <f>IF(COUNTA(B401:C401)=0,"",393)</f>
        <v/>
      </c>
      <c r="B401" s="8"/>
      <c r="C401" s="9"/>
      <c r="D401" s="10" t="str">
        <f t="shared" si="36"/>
        <v/>
      </c>
      <c r="E401" s="1"/>
      <c r="F401" s="11" t="str">
        <f t="shared" si="37"/>
        <v/>
      </c>
      <c r="G401" s="11" t="str">
        <f t="shared" si="38"/>
        <v/>
      </c>
      <c r="H401" s="11" t="str">
        <f t="shared" si="39"/>
        <v/>
      </c>
      <c r="I401" s="12" t="str">
        <f t="shared" si="40"/>
        <v/>
      </c>
      <c r="J401" s="13" t="str">
        <f t="shared" si="41"/>
        <v/>
      </c>
    </row>
    <row r="402" spans="1:10" ht="23.1" customHeight="1">
      <c r="A402" s="1" t="str">
        <f>IF(COUNTA(B402:C402)=0,"",394)</f>
        <v/>
      </c>
      <c r="B402" s="8"/>
      <c r="C402" s="9"/>
      <c r="D402" s="10" t="str">
        <f t="shared" si="36"/>
        <v/>
      </c>
      <c r="E402" s="1"/>
      <c r="F402" s="11" t="str">
        <f t="shared" si="37"/>
        <v/>
      </c>
      <c r="G402" s="11" t="str">
        <f t="shared" si="38"/>
        <v/>
      </c>
      <c r="H402" s="11" t="str">
        <f t="shared" si="39"/>
        <v/>
      </c>
      <c r="I402" s="12" t="str">
        <f t="shared" si="40"/>
        <v/>
      </c>
      <c r="J402" s="13" t="str">
        <f t="shared" si="41"/>
        <v/>
      </c>
    </row>
    <row r="403" spans="1:10" ht="23.1" customHeight="1">
      <c r="A403" s="1" t="str">
        <f>IF(COUNTA(B403:C403)=0,"",395)</f>
        <v/>
      </c>
      <c r="B403" s="8"/>
      <c r="C403" s="9"/>
      <c r="D403" s="10" t="str">
        <f t="shared" si="36"/>
        <v/>
      </c>
      <c r="E403" s="1"/>
      <c r="F403" s="11" t="str">
        <f t="shared" si="37"/>
        <v/>
      </c>
      <c r="G403" s="11" t="str">
        <f t="shared" si="38"/>
        <v/>
      </c>
      <c r="H403" s="11" t="str">
        <f t="shared" si="39"/>
        <v/>
      </c>
      <c r="I403" s="12" t="str">
        <f t="shared" si="40"/>
        <v/>
      </c>
      <c r="J403" s="13" t="str">
        <f t="shared" si="41"/>
        <v/>
      </c>
    </row>
    <row r="404" spans="1:10" ht="23.1" customHeight="1">
      <c r="A404" s="1" t="str">
        <f>IF(COUNTA(B404:C404)=0,"",396)</f>
        <v/>
      </c>
      <c r="B404" s="8"/>
      <c r="C404" s="9"/>
      <c r="D404" s="10" t="str">
        <f t="shared" si="36"/>
        <v/>
      </c>
      <c r="E404" s="1"/>
      <c r="F404" s="11" t="str">
        <f t="shared" si="37"/>
        <v/>
      </c>
      <c r="G404" s="11" t="str">
        <f t="shared" si="38"/>
        <v/>
      </c>
      <c r="H404" s="11" t="str">
        <f t="shared" si="39"/>
        <v/>
      </c>
      <c r="I404" s="12" t="str">
        <f t="shared" si="40"/>
        <v/>
      </c>
      <c r="J404" s="13" t="str">
        <f t="shared" si="41"/>
        <v/>
      </c>
    </row>
    <row r="405" spans="1:10" ht="23.1" customHeight="1">
      <c r="A405" s="1" t="str">
        <f>IF(COUNTA(B405:C405)=0,"",397)</f>
        <v/>
      </c>
      <c r="B405" s="8"/>
      <c r="C405" s="9"/>
      <c r="D405" s="10" t="str">
        <f t="shared" si="36"/>
        <v/>
      </c>
      <c r="E405" s="1"/>
      <c r="F405" s="11" t="str">
        <f t="shared" si="37"/>
        <v/>
      </c>
      <c r="G405" s="11" t="str">
        <f t="shared" si="38"/>
        <v/>
      </c>
      <c r="H405" s="11" t="str">
        <f t="shared" si="39"/>
        <v/>
      </c>
      <c r="I405" s="12" t="str">
        <f t="shared" si="40"/>
        <v/>
      </c>
      <c r="J405" s="13" t="str">
        <f t="shared" si="41"/>
        <v/>
      </c>
    </row>
    <row r="406" spans="1:10" ht="23.1" customHeight="1">
      <c r="A406" s="1" t="str">
        <f>IF(COUNTA(B406:C406)=0,"",398)</f>
        <v/>
      </c>
      <c r="B406" s="8"/>
      <c r="C406" s="9"/>
      <c r="D406" s="10" t="str">
        <f t="shared" si="36"/>
        <v/>
      </c>
      <c r="E406" s="1"/>
      <c r="F406" s="11" t="str">
        <f t="shared" si="37"/>
        <v/>
      </c>
      <c r="G406" s="11" t="str">
        <f t="shared" si="38"/>
        <v/>
      </c>
      <c r="H406" s="11" t="str">
        <f t="shared" si="39"/>
        <v/>
      </c>
      <c r="I406" s="12" t="str">
        <f t="shared" si="40"/>
        <v/>
      </c>
      <c r="J406" s="13" t="str">
        <f t="shared" si="41"/>
        <v/>
      </c>
    </row>
    <row r="407" spans="1:10" ht="23.1" customHeight="1">
      <c r="A407" s="1" t="str">
        <f>IF(COUNTA(B407:C407)=0,"",399)</f>
        <v/>
      </c>
      <c r="B407" s="8"/>
      <c r="C407" s="9"/>
      <c r="D407" s="10" t="str">
        <f t="shared" si="36"/>
        <v/>
      </c>
      <c r="E407" s="1"/>
      <c r="F407" s="11" t="str">
        <f t="shared" si="37"/>
        <v/>
      </c>
      <c r="G407" s="11" t="str">
        <f t="shared" si="38"/>
        <v/>
      </c>
      <c r="H407" s="11" t="str">
        <f t="shared" si="39"/>
        <v/>
      </c>
      <c r="I407" s="12" t="str">
        <f t="shared" si="40"/>
        <v/>
      </c>
      <c r="J407" s="13" t="str">
        <f t="shared" si="41"/>
        <v/>
      </c>
    </row>
    <row r="408" spans="1:10" ht="23.1" customHeight="1">
      <c r="A408" s="1" t="str">
        <f>IF(COUNTA(B408:C408)=0,"",400)</f>
        <v/>
      </c>
      <c r="B408" s="8"/>
      <c r="C408" s="9"/>
      <c r="D408" s="10" t="str">
        <f t="shared" si="36"/>
        <v/>
      </c>
      <c r="E408" s="1"/>
      <c r="F408" s="11" t="str">
        <f t="shared" si="37"/>
        <v/>
      </c>
      <c r="G408" s="11" t="str">
        <f t="shared" si="38"/>
        <v/>
      </c>
      <c r="H408" s="11" t="str">
        <f t="shared" si="39"/>
        <v/>
      </c>
      <c r="I408" s="12" t="str">
        <f t="shared" si="40"/>
        <v/>
      </c>
      <c r="J408" s="13" t="str">
        <f t="shared" si="41"/>
        <v/>
      </c>
    </row>
    <row r="409" spans="1:10" ht="23.1" customHeight="1">
      <c r="A409" s="1" t="str">
        <f>IF(COUNTA(B409:C409)=0,"",401)</f>
        <v/>
      </c>
      <c r="B409" s="8"/>
      <c r="C409" s="9"/>
      <c r="D409" s="10" t="str">
        <f t="shared" si="36"/>
        <v/>
      </c>
      <c r="E409" s="1"/>
      <c r="F409" s="11" t="str">
        <f t="shared" si="37"/>
        <v/>
      </c>
      <c r="G409" s="11" t="str">
        <f t="shared" si="38"/>
        <v/>
      </c>
      <c r="H409" s="11" t="str">
        <f t="shared" si="39"/>
        <v/>
      </c>
      <c r="I409" s="12" t="str">
        <f t="shared" si="40"/>
        <v/>
      </c>
      <c r="J409" s="13" t="str">
        <f t="shared" si="41"/>
        <v/>
      </c>
    </row>
    <row r="410" spans="1:10" ht="23.1" customHeight="1">
      <c r="A410" s="1" t="str">
        <f>IF(COUNTA(B410:C410)=0,"",402)</f>
        <v/>
      </c>
      <c r="B410" s="8"/>
      <c r="C410" s="9"/>
      <c r="D410" s="10" t="str">
        <f t="shared" si="36"/>
        <v/>
      </c>
      <c r="E410" s="1"/>
      <c r="F410" s="11" t="str">
        <f t="shared" si="37"/>
        <v/>
      </c>
      <c r="G410" s="11" t="str">
        <f t="shared" si="38"/>
        <v/>
      </c>
      <c r="H410" s="11" t="str">
        <f t="shared" si="39"/>
        <v/>
      </c>
      <c r="I410" s="12" t="str">
        <f t="shared" si="40"/>
        <v/>
      </c>
      <c r="J410" s="13" t="str">
        <f t="shared" si="41"/>
        <v/>
      </c>
    </row>
    <row r="411" spans="1:10" ht="23.1" customHeight="1">
      <c r="A411" s="1" t="str">
        <f>IF(COUNTA(B411:C411)=0,"",403)</f>
        <v/>
      </c>
      <c r="B411" s="8"/>
      <c r="C411" s="9"/>
      <c r="D411" s="10" t="str">
        <f t="shared" si="36"/>
        <v/>
      </c>
      <c r="E411" s="1"/>
      <c r="F411" s="11" t="str">
        <f t="shared" si="37"/>
        <v/>
      </c>
      <c r="G411" s="11" t="str">
        <f t="shared" si="38"/>
        <v/>
      </c>
      <c r="H411" s="11" t="str">
        <f t="shared" si="39"/>
        <v/>
      </c>
      <c r="I411" s="12" t="str">
        <f t="shared" si="40"/>
        <v/>
      </c>
      <c r="J411" s="13" t="str">
        <f t="shared" si="41"/>
        <v/>
      </c>
    </row>
    <row r="412" spans="1:10" ht="23.1" customHeight="1">
      <c r="A412" s="1" t="str">
        <f>IF(COUNTA(B412:C412)=0,"",404)</f>
        <v/>
      </c>
      <c r="B412" s="8"/>
      <c r="C412" s="9"/>
      <c r="D412" s="10" t="str">
        <f t="shared" si="36"/>
        <v/>
      </c>
      <c r="E412" s="1"/>
      <c r="F412" s="11" t="str">
        <f t="shared" si="37"/>
        <v/>
      </c>
      <c r="G412" s="11" t="str">
        <f t="shared" si="38"/>
        <v/>
      </c>
      <c r="H412" s="11" t="str">
        <f t="shared" si="39"/>
        <v/>
      </c>
      <c r="I412" s="12" t="str">
        <f t="shared" si="40"/>
        <v/>
      </c>
      <c r="J412" s="13" t="str">
        <f t="shared" si="41"/>
        <v/>
      </c>
    </row>
    <row r="413" spans="1:10" ht="23.1" customHeight="1">
      <c r="A413" s="1" t="str">
        <f>IF(COUNTA(B413:C413)=0,"",405)</f>
        <v/>
      </c>
      <c r="B413" s="8"/>
      <c r="C413" s="9"/>
      <c r="D413" s="10" t="str">
        <f t="shared" si="36"/>
        <v/>
      </c>
      <c r="E413" s="1"/>
      <c r="F413" s="11" t="str">
        <f t="shared" si="37"/>
        <v/>
      </c>
      <c r="G413" s="11" t="str">
        <f t="shared" si="38"/>
        <v/>
      </c>
      <c r="H413" s="11" t="str">
        <f t="shared" si="39"/>
        <v/>
      </c>
      <c r="I413" s="12" t="str">
        <f t="shared" si="40"/>
        <v/>
      </c>
      <c r="J413" s="13" t="str">
        <f t="shared" si="41"/>
        <v/>
      </c>
    </row>
    <row r="414" spans="1:10" ht="23.1" customHeight="1">
      <c r="A414" s="1" t="str">
        <f>IF(COUNTA(B414:C414)=0,"",406)</f>
        <v/>
      </c>
      <c r="B414" s="8"/>
      <c r="C414" s="9"/>
      <c r="D414" s="10" t="str">
        <f t="shared" si="36"/>
        <v/>
      </c>
      <c r="E414" s="1"/>
      <c r="F414" s="11" t="str">
        <f t="shared" si="37"/>
        <v/>
      </c>
      <c r="G414" s="11" t="str">
        <f t="shared" si="38"/>
        <v/>
      </c>
      <c r="H414" s="11" t="str">
        <f t="shared" si="39"/>
        <v/>
      </c>
      <c r="I414" s="12" t="str">
        <f t="shared" si="40"/>
        <v/>
      </c>
      <c r="J414" s="13" t="str">
        <f t="shared" si="41"/>
        <v/>
      </c>
    </row>
    <row r="415" spans="1:10" ht="23.1" customHeight="1">
      <c r="A415" s="1" t="str">
        <f>IF(COUNTA(B415:C415)=0,"",407)</f>
        <v/>
      </c>
      <c r="B415" s="8"/>
      <c r="C415" s="9"/>
      <c r="D415" s="10" t="str">
        <f t="shared" si="36"/>
        <v/>
      </c>
      <c r="E415" s="1"/>
      <c r="F415" s="11" t="str">
        <f t="shared" si="37"/>
        <v/>
      </c>
      <c r="G415" s="11" t="str">
        <f t="shared" si="38"/>
        <v/>
      </c>
      <c r="H415" s="11" t="str">
        <f t="shared" si="39"/>
        <v/>
      </c>
      <c r="I415" s="12" t="str">
        <f t="shared" si="40"/>
        <v/>
      </c>
      <c r="J415" s="13" t="str">
        <f t="shared" si="41"/>
        <v/>
      </c>
    </row>
    <row r="416" spans="1:10" ht="23.1" customHeight="1">
      <c r="A416" s="1" t="str">
        <f>IF(COUNTA(B416:C416)=0,"",408)</f>
        <v/>
      </c>
      <c r="B416" s="8"/>
      <c r="C416" s="9"/>
      <c r="D416" s="10" t="str">
        <f t="shared" si="36"/>
        <v/>
      </c>
      <c r="E416" s="1"/>
      <c r="F416" s="11" t="str">
        <f t="shared" si="37"/>
        <v/>
      </c>
      <c r="G416" s="11" t="str">
        <f t="shared" si="38"/>
        <v/>
      </c>
      <c r="H416" s="11" t="str">
        <f t="shared" si="39"/>
        <v/>
      </c>
      <c r="I416" s="12" t="str">
        <f t="shared" si="40"/>
        <v/>
      </c>
      <c r="J416" s="13" t="str">
        <f t="shared" si="41"/>
        <v/>
      </c>
    </row>
    <row r="417" spans="1:10" ht="23.1" customHeight="1">
      <c r="A417" s="1" t="str">
        <f>IF(COUNTA(B417:C417)=0,"",409)</f>
        <v/>
      </c>
      <c r="B417" s="8"/>
      <c r="C417" s="9"/>
      <c r="D417" s="10" t="str">
        <f t="shared" si="36"/>
        <v/>
      </c>
      <c r="E417" s="1"/>
      <c r="F417" s="11" t="str">
        <f t="shared" si="37"/>
        <v/>
      </c>
      <c r="G417" s="11" t="str">
        <f t="shared" si="38"/>
        <v/>
      </c>
      <c r="H417" s="11" t="str">
        <f t="shared" si="39"/>
        <v/>
      </c>
      <c r="I417" s="12" t="str">
        <f t="shared" si="40"/>
        <v/>
      </c>
      <c r="J417" s="13" t="str">
        <f t="shared" si="41"/>
        <v/>
      </c>
    </row>
    <row r="418" spans="1:10" ht="23.1" customHeight="1">
      <c r="A418" s="1" t="str">
        <f>IF(COUNTA(B418:C418)=0,"",410)</f>
        <v/>
      </c>
      <c r="B418" s="8"/>
      <c r="C418" s="9"/>
      <c r="D418" s="10" t="str">
        <f t="shared" si="36"/>
        <v/>
      </c>
      <c r="E418" s="1"/>
      <c r="F418" s="11" t="str">
        <f t="shared" si="37"/>
        <v/>
      </c>
      <c r="G418" s="11" t="str">
        <f t="shared" si="38"/>
        <v/>
      </c>
      <c r="H418" s="11" t="str">
        <f t="shared" si="39"/>
        <v/>
      </c>
      <c r="I418" s="12" t="str">
        <f t="shared" si="40"/>
        <v/>
      </c>
      <c r="J418" s="13" t="str">
        <f t="shared" si="41"/>
        <v/>
      </c>
    </row>
    <row r="419" spans="1:10" ht="23.1" customHeight="1">
      <c r="A419" s="1" t="str">
        <f>IF(COUNTA(B419:C419)=0,"",411)</f>
        <v/>
      </c>
      <c r="B419" s="8"/>
      <c r="C419" s="9"/>
      <c r="D419" s="10" t="str">
        <f t="shared" si="36"/>
        <v/>
      </c>
      <c r="E419" s="1"/>
      <c r="F419" s="11" t="str">
        <f t="shared" si="37"/>
        <v/>
      </c>
      <c r="G419" s="11" t="str">
        <f t="shared" si="38"/>
        <v/>
      </c>
      <c r="H419" s="11" t="str">
        <f t="shared" si="39"/>
        <v/>
      </c>
      <c r="I419" s="12" t="str">
        <f t="shared" si="40"/>
        <v/>
      </c>
      <c r="J419" s="13" t="str">
        <f t="shared" si="41"/>
        <v/>
      </c>
    </row>
    <row r="420" spans="1:10" ht="23.1" customHeight="1">
      <c r="A420" s="1" t="str">
        <f>IF(COUNTA(B420:C420)=0,"",412)</f>
        <v/>
      </c>
      <c r="B420" s="8"/>
      <c r="C420" s="9"/>
      <c r="D420" s="10" t="str">
        <f t="shared" si="36"/>
        <v/>
      </c>
      <c r="E420" s="1"/>
      <c r="F420" s="11" t="str">
        <f t="shared" si="37"/>
        <v/>
      </c>
      <c r="G420" s="11" t="str">
        <f t="shared" si="38"/>
        <v/>
      </c>
      <c r="H420" s="11" t="str">
        <f t="shared" si="39"/>
        <v/>
      </c>
      <c r="I420" s="12" t="str">
        <f t="shared" si="40"/>
        <v/>
      </c>
      <c r="J420" s="13" t="str">
        <f t="shared" si="41"/>
        <v/>
      </c>
    </row>
    <row r="421" spans="1:10" ht="23.1" customHeight="1">
      <c r="A421" s="1" t="str">
        <f>IF(COUNTA(B421:C421)=0,"",413)</f>
        <v/>
      </c>
      <c r="B421" s="8"/>
      <c r="C421" s="9"/>
      <c r="D421" s="10" t="str">
        <f t="shared" si="36"/>
        <v/>
      </c>
      <c r="E421" s="1"/>
      <c r="F421" s="11" t="str">
        <f t="shared" si="37"/>
        <v/>
      </c>
      <c r="G421" s="11" t="str">
        <f t="shared" si="38"/>
        <v/>
      </c>
      <c r="H421" s="11" t="str">
        <f t="shared" si="39"/>
        <v/>
      </c>
      <c r="I421" s="12" t="str">
        <f t="shared" si="40"/>
        <v/>
      </c>
      <c r="J421" s="13" t="str">
        <f t="shared" si="41"/>
        <v/>
      </c>
    </row>
    <row r="422" spans="1:10" ht="23.1" customHeight="1">
      <c r="A422" s="1" t="str">
        <f>IF(COUNTA(B422:C422)=0,"",414)</f>
        <v/>
      </c>
      <c r="B422" s="8"/>
      <c r="C422" s="9"/>
      <c r="D422" s="10" t="str">
        <f t="shared" si="36"/>
        <v/>
      </c>
      <c r="E422" s="1"/>
      <c r="F422" s="11" t="str">
        <f t="shared" si="37"/>
        <v/>
      </c>
      <c r="G422" s="11" t="str">
        <f t="shared" si="38"/>
        <v/>
      </c>
      <c r="H422" s="11" t="str">
        <f t="shared" si="39"/>
        <v/>
      </c>
      <c r="I422" s="12" t="str">
        <f t="shared" si="40"/>
        <v/>
      </c>
      <c r="J422" s="13" t="str">
        <f t="shared" si="41"/>
        <v/>
      </c>
    </row>
    <row r="423" spans="1:10" ht="23.1" customHeight="1">
      <c r="A423" s="1" t="str">
        <f>IF(COUNTA(B423:C423)=0,"",415)</f>
        <v/>
      </c>
      <c r="B423" s="8"/>
      <c r="C423" s="9"/>
      <c r="D423" s="10" t="str">
        <f t="shared" si="36"/>
        <v/>
      </c>
      <c r="E423" s="1"/>
      <c r="F423" s="11" t="str">
        <f t="shared" si="37"/>
        <v/>
      </c>
      <c r="G423" s="11" t="str">
        <f t="shared" si="38"/>
        <v/>
      </c>
      <c r="H423" s="11" t="str">
        <f t="shared" si="39"/>
        <v/>
      </c>
      <c r="I423" s="12" t="str">
        <f t="shared" si="40"/>
        <v/>
      </c>
      <c r="J423" s="13" t="str">
        <f t="shared" si="41"/>
        <v/>
      </c>
    </row>
    <row r="424" spans="1:10" ht="23.1" customHeight="1">
      <c r="A424" s="1" t="str">
        <f>IF(COUNTA(B424:C424)=0,"",416)</f>
        <v/>
      </c>
      <c r="B424" s="8"/>
      <c r="C424" s="9"/>
      <c r="D424" s="10" t="str">
        <f t="shared" si="36"/>
        <v/>
      </c>
      <c r="E424" s="1"/>
      <c r="F424" s="11" t="str">
        <f t="shared" si="37"/>
        <v/>
      </c>
      <c r="G424" s="11" t="str">
        <f t="shared" si="38"/>
        <v/>
      </c>
      <c r="H424" s="11" t="str">
        <f t="shared" si="39"/>
        <v/>
      </c>
      <c r="I424" s="12" t="str">
        <f t="shared" si="40"/>
        <v/>
      </c>
      <c r="J424" s="13" t="str">
        <f t="shared" si="41"/>
        <v/>
      </c>
    </row>
    <row r="425" spans="1:10" ht="23.1" customHeight="1">
      <c r="A425" s="1" t="str">
        <f>IF(COUNTA(B425:C425)=0,"",417)</f>
        <v/>
      </c>
      <c r="B425" s="8"/>
      <c r="C425" s="9"/>
      <c r="D425" s="10" t="str">
        <f t="shared" si="36"/>
        <v/>
      </c>
      <c r="E425" s="1"/>
      <c r="F425" s="11" t="str">
        <f t="shared" si="37"/>
        <v/>
      </c>
      <c r="G425" s="11" t="str">
        <f t="shared" si="38"/>
        <v/>
      </c>
      <c r="H425" s="11" t="str">
        <f t="shared" si="39"/>
        <v/>
      </c>
      <c r="I425" s="12" t="str">
        <f t="shared" si="40"/>
        <v/>
      </c>
      <c r="J425" s="13" t="str">
        <f t="shared" si="41"/>
        <v/>
      </c>
    </row>
    <row r="426" spans="1:10" ht="23.1" customHeight="1">
      <c r="A426" s="1" t="str">
        <f>IF(COUNTA(B426:C426)=0,"",418)</f>
        <v/>
      </c>
      <c r="B426" s="8"/>
      <c r="C426" s="9"/>
      <c r="D426" s="10" t="str">
        <f t="shared" si="36"/>
        <v/>
      </c>
      <c r="E426" s="1"/>
      <c r="F426" s="11" t="str">
        <f t="shared" si="37"/>
        <v/>
      </c>
      <c r="G426" s="11" t="str">
        <f t="shared" si="38"/>
        <v/>
      </c>
      <c r="H426" s="11" t="str">
        <f t="shared" si="39"/>
        <v/>
      </c>
      <c r="I426" s="12" t="str">
        <f t="shared" si="40"/>
        <v/>
      </c>
      <c r="J426" s="13" t="str">
        <f t="shared" si="41"/>
        <v/>
      </c>
    </row>
    <row r="427" spans="1:10" ht="23.1" customHeight="1">
      <c r="A427" s="1" t="str">
        <f>IF(COUNTA(B427:C427)=0,"",419)</f>
        <v/>
      </c>
      <c r="B427" s="8"/>
      <c r="C427" s="9"/>
      <c r="D427" s="10" t="str">
        <f t="shared" si="36"/>
        <v/>
      </c>
      <c r="E427" s="1"/>
      <c r="F427" s="11" t="str">
        <f t="shared" si="37"/>
        <v/>
      </c>
      <c r="G427" s="11" t="str">
        <f t="shared" si="38"/>
        <v/>
      </c>
      <c r="H427" s="11" t="str">
        <f t="shared" si="39"/>
        <v/>
      </c>
      <c r="I427" s="12" t="str">
        <f t="shared" si="40"/>
        <v/>
      </c>
      <c r="J427" s="13" t="str">
        <f t="shared" si="41"/>
        <v/>
      </c>
    </row>
    <row r="428" spans="1:10" ht="23.1" customHeight="1">
      <c r="A428" s="1" t="str">
        <f>IF(COUNTA(B428:C428)=0,"",420)</f>
        <v/>
      </c>
      <c r="B428" s="8"/>
      <c r="C428" s="9"/>
      <c r="D428" s="10" t="str">
        <f t="shared" si="36"/>
        <v/>
      </c>
      <c r="E428" s="1"/>
      <c r="F428" s="11" t="str">
        <f t="shared" si="37"/>
        <v/>
      </c>
      <c r="G428" s="11" t="str">
        <f t="shared" si="38"/>
        <v/>
      </c>
      <c r="H428" s="11" t="str">
        <f t="shared" si="39"/>
        <v/>
      </c>
      <c r="I428" s="12" t="str">
        <f t="shared" si="40"/>
        <v/>
      </c>
      <c r="J428" s="13" t="str">
        <f t="shared" si="41"/>
        <v/>
      </c>
    </row>
    <row r="429" spans="1:10" ht="23.1" customHeight="1">
      <c r="A429" s="1" t="str">
        <f>IF(COUNTA(B429:C429)=0,"",421)</f>
        <v/>
      </c>
      <c r="B429" s="8"/>
      <c r="C429" s="9"/>
      <c r="D429" s="10" t="str">
        <f t="shared" si="36"/>
        <v/>
      </c>
      <c r="E429" s="1"/>
      <c r="F429" s="11" t="str">
        <f t="shared" si="37"/>
        <v/>
      </c>
      <c r="G429" s="11" t="str">
        <f t="shared" si="38"/>
        <v/>
      </c>
      <c r="H429" s="11" t="str">
        <f t="shared" si="39"/>
        <v/>
      </c>
      <c r="I429" s="12" t="str">
        <f t="shared" si="40"/>
        <v/>
      </c>
      <c r="J429" s="13" t="str">
        <f t="shared" si="41"/>
        <v/>
      </c>
    </row>
    <row r="430" spans="1:10" ht="23.1" customHeight="1">
      <c r="A430" s="1" t="str">
        <f>IF(COUNTA(B430:C430)=0,"",422)</f>
        <v/>
      </c>
      <c r="B430" s="8"/>
      <c r="C430" s="9"/>
      <c r="D430" s="10" t="str">
        <f t="shared" si="36"/>
        <v/>
      </c>
      <c r="E430" s="1"/>
      <c r="F430" s="11" t="str">
        <f t="shared" si="37"/>
        <v/>
      </c>
      <c r="G430" s="11" t="str">
        <f t="shared" si="38"/>
        <v/>
      </c>
      <c r="H430" s="11" t="str">
        <f t="shared" si="39"/>
        <v/>
      </c>
      <c r="I430" s="12" t="str">
        <f t="shared" si="40"/>
        <v/>
      </c>
      <c r="J430" s="13" t="str">
        <f t="shared" si="41"/>
        <v/>
      </c>
    </row>
    <row r="431" spans="1:10" ht="23.1" customHeight="1">
      <c r="A431" s="1" t="str">
        <f>IF(COUNTA(B431:C431)=0,"",423)</f>
        <v/>
      </c>
      <c r="B431" s="8"/>
      <c r="C431" s="9"/>
      <c r="D431" s="10" t="str">
        <f t="shared" si="36"/>
        <v/>
      </c>
      <c r="E431" s="1"/>
      <c r="F431" s="11" t="str">
        <f t="shared" si="37"/>
        <v/>
      </c>
      <c r="G431" s="11" t="str">
        <f t="shared" si="38"/>
        <v/>
      </c>
      <c r="H431" s="11" t="str">
        <f t="shared" si="39"/>
        <v/>
      </c>
      <c r="I431" s="12" t="str">
        <f t="shared" si="40"/>
        <v/>
      </c>
      <c r="J431" s="13" t="str">
        <f t="shared" si="41"/>
        <v/>
      </c>
    </row>
    <row r="432" spans="1:10" ht="23.1" customHeight="1">
      <c r="A432" s="1" t="str">
        <f>IF(COUNTA(B432:C432)=0,"",424)</f>
        <v/>
      </c>
      <c r="B432" s="8"/>
      <c r="C432" s="9"/>
      <c r="D432" s="10" t="str">
        <f t="shared" si="36"/>
        <v/>
      </c>
      <c r="E432" s="1"/>
      <c r="F432" s="11" t="str">
        <f t="shared" si="37"/>
        <v/>
      </c>
      <c r="G432" s="11" t="str">
        <f t="shared" si="38"/>
        <v/>
      </c>
      <c r="H432" s="11" t="str">
        <f t="shared" si="39"/>
        <v/>
      </c>
      <c r="I432" s="12" t="str">
        <f t="shared" si="40"/>
        <v/>
      </c>
      <c r="J432" s="13" t="str">
        <f t="shared" si="41"/>
        <v/>
      </c>
    </row>
    <row r="433" spans="1:10" ht="23.1" customHeight="1">
      <c r="A433" s="1" t="str">
        <f>IF(COUNTA(B433:C433)=0,"",425)</f>
        <v/>
      </c>
      <c r="B433" s="8"/>
      <c r="C433" s="9"/>
      <c r="D433" s="10" t="str">
        <f t="shared" si="36"/>
        <v/>
      </c>
      <c r="E433" s="1"/>
      <c r="F433" s="11" t="str">
        <f t="shared" si="37"/>
        <v/>
      </c>
      <c r="G433" s="11" t="str">
        <f t="shared" si="38"/>
        <v/>
      </c>
      <c r="H433" s="11" t="str">
        <f t="shared" si="39"/>
        <v/>
      </c>
      <c r="I433" s="12" t="str">
        <f t="shared" si="40"/>
        <v/>
      </c>
      <c r="J433" s="13" t="str">
        <f t="shared" si="41"/>
        <v/>
      </c>
    </row>
    <row r="434" spans="1:10" ht="23.1" customHeight="1">
      <c r="A434" s="1" t="str">
        <f>IF(COUNTA(B434:C434)=0,"",426)</f>
        <v/>
      </c>
      <c r="B434" s="8"/>
      <c r="C434" s="9"/>
      <c r="D434" s="10" t="str">
        <f t="shared" si="36"/>
        <v/>
      </c>
      <c r="E434" s="1"/>
      <c r="F434" s="11" t="str">
        <f t="shared" si="37"/>
        <v/>
      </c>
      <c r="G434" s="11" t="str">
        <f t="shared" si="38"/>
        <v/>
      </c>
      <c r="H434" s="11" t="str">
        <f t="shared" si="39"/>
        <v/>
      </c>
      <c r="I434" s="12" t="str">
        <f t="shared" si="40"/>
        <v/>
      </c>
      <c r="J434" s="13" t="str">
        <f t="shared" si="41"/>
        <v/>
      </c>
    </row>
    <row r="435" spans="1:10" ht="23.1" customHeight="1">
      <c r="A435" s="1" t="str">
        <f>IF(COUNTA(B435:C435)=0,"",427)</f>
        <v/>
      </c>
      <c r="B435" s="8"/>
      <c r="C435" s="9"/>
      <c r="D435" s="10" t="str">
        <f t="shared" si="36"/>
        <v/>
      </c>
      <c r="E435" s="1"/>
      <c r="F435" s="11" t="str">
        <f t="shared" si="37"/>
        <v/>
      </c>
      <c r="G435" s="11" t="str">
        <f t="shared" si="38"/>
        <v/>
      </c>
      <c r="H435" s="11" t="str">
        <f t="shared" si="39"/>
        <v/>
      </c>
      <c r="I435" s="12" t="str">
        <f t="shared" si="40"/>
        <v/>
      </c>
      <c r="J435" s="13" t="str">
        <f t="shared" si="41"/>
        <v/>
      </c>
    </row>
    <row r="436" spans="1:10" ht="23.1" customHeight="1">
      <c r="A436" s="1" t="str">
        <f>IF(COUNTA(B436:C436)=0,"",428)</f>
        <v/>
      </c>
      <c r="B436" s="8"/>
      <c r="C436" s="9"/>
      <c r="D436" s="10" t="str">
        <f t="shared" si="36"/>
        <v/>
      </c>
      <c r="E436" s="1"/>
      <c r="F436" s="11" t="str">
        <f t="shared" si="37"/>
        <v/>
      </c>
      <c r="G436" s="11" t="str">
        <f t="shared" si="38"/>
        <v/>
      </c>
      <c r="H436" s="11" t="str">
        <f t="shared" si="39"/>
        <v/>
      </c>
      <c r="I436" s="12" t="str">
        <f t="shared" si="40"/>
        <v/>
      </c>
      <c r="J436" s="13" t="str">
        <f t="shared" si="41"/>
        <v/>
      </c>
    </row>
    <row r="437" spans="1:10" ht="23.1" customHeight="1">
      <c r="A437" s="1" t="str">
        <f>IF(COUNTA(B437:C437)=0,"",429)</f>
        <v/>
      </c>
      <c r="B437" s="8"/>
      <c r="C437" s="9"/>
      <c r="D437" s="10" t="str">
        <f t="shared" si="36"/>
        <v/>
      </c>
      <c r="E437" s="1"/>
      <c r="F437" s="11" t="str">
        <f t="shared" si="37"/>
        <v/>
      </c>
      <c r="G437" s="11" t="str">
        <f t="shared" si="38"/>
        <v/>
      </c>
      <c r="H437" s="11" t="str">
        <f t="shared" si="39"/>
        <v/>
      </c>
      <c r="I437" s="12" t="str">
        <f t="shared" si="40"/>
        <v/>
      </c>
      <c r="J437" s="13" t="str">
        <f t="shared" si="41"/>
        <v/>
      </c>
    </row>
    <row r="438" spans="1:10" ht="23.1" customHeight="1">
      <c r="A438" s="1" t="str">
        <f>IF(COUNTA(B438:C438)=0,"",430)</f>
        <v/>
      </c>
      <c r="B438" s="8"/>
      <c r="C438" s="9"/>
      <c r="D438" s="10" t="str">
        <f t="shared" si="36"/>
        <v/>
      </c>
      <c r="E438" s="1"/>
      <c r="F438" s="11" t="str">
        <f t="shared" si="37"/>
        <v/>
      </c>
      <c r="G438" s="11" t="str">
        <f t="shared" si="38"/>
        <v/>
      </c>
      <c r="H438" s="11" t="str">
        <f t="shared" si="39"/>
        <v/>
      </c>
      <c r="I438" s="12" t="str">
        <f t="shared" si="40"/>
        <v/>
      </c>
      <c r="J438" s="13" t="str">
        <f t="shared" si="41"/>
        <v/>
      </c>
    </row>
    <row r="439" spans="1:10" ht="23.1" customHeight="1">
      <c r="A439" s="1" t="str">
        <f>IF(COUNTA(B439:C439)=0,"",431)</f>
        <v/>
      </c>
      <c r="B439" s="8"/>
      <c r="C439" s="9"/>
      <c r="D439" s="10" t="str">
        <f t="shared" si="36"/>
        <v/>
      </c>
      <c r="E439" s="1"/>
      <c r="F439" s="11" t="str">
        <f t="shared" si="37"/>
        <v/>
      </c>
      <c r="G439" s="11" t="str">
        <f t="shared" si="38"/>
        <v/>
      </c>
      <c r="H439" s="11" t="str">
        <f t="shared" si="39"/>
        <v/>
      </c>
      <c r="I439" s="12" t="str">
        <f t="shared" si="40"/>
        <v/>
      </c>
      <c r="J439" s="13" t="str">
        <f t="shared" si="41"/>
        <v/>
      </c>
    </row>
    <row r="440" spans="1:10" ht="23.1" customHeight="1">
      <c r="A440" s="1" t="str">
        <f>IF(COUNTA(B440:C440)=0,"",432)</f>
        <v/>
      </c>
      <c r="B440" s="8"/>
      <c r="C440" s="9"/>
      <c r="D440" s="10" t="str">
        <f t="shared" si="36"/>
        <v/>
      </c>
      <c r="E440" s="1"/>
      <c r="F440" s="11" t="str">
        <f t="shared" si="37"/>
        <v/>
      </c>
      <c r="G440" s="11" t="str">
        <f t="shared" si="38"/>
        <v/>
      </c>
      <c r="H440" s="11" t="str">
        <f t="shared" si="39"/>
        <v/>
      </c>
      <c r="I440" s="12" t="str">
        <f t="shared" si="40"/>
        <v/>
      </c>
      <c r="J440" s="13" t="str">
        <f t="shared" si="41"/>
        <v/>
      </c>
    </row>
    <row r="441" spans="1:10" ht="23.1" customHeight="1">
      <c r="A441" s="1" t="str">
        <f>IF(COUNTA(B441:C441)=0,"",433)</f>
        <v/>
      </c>
      <c r="B441" s="8"/>
      <c r="C441" s="9"/>
      <c r="D441" s="10" t="str">
        <f t="shared" si="36"/>
        <v/>
      </c>
      <c r="E441" s="1"/>
      <c r="F441" s="11" t="str">
        <f t="shared" si="37"/>
        <v/>
      </c>
      <c r="G441" s="11" t="str">
        <f t="shared" si="38"/>
        <v/>
      </c>
      <c r="H441" s="11" t="str">
        <f t="shared" si="39"/>
        <v/>
      </c>
      <c r="I441" s="12" t="str">
        <f t="shared" si="40"/>
        <v/>
      </c>
      <c r="J441" s="13" t="str">
        <f t="shared" si="41"/>
        <v/>
      </c>
    </row>
    <row r="442" spans="1:10" ht="23.1" customHeight="1">
      <c r="A442" s="1" t="str">
        <f>IF(COUNTA(B442:C442)=0,"",434)</f>
        <v/>
      </c>
      <c r="B442" s="8"/>
      <c r="C442" s="9"/>
      <c r="D442" s="10" t="str">
        <f t="shared" si="36"/>
        <v/>
      </c>
      <c r="E442" s="1"/>
      <c r="F442" s="11" t="str">
        <f t="shared" si="37"/>
        <v/>
      </c>
      <c r="G442" s="11" t="str">
        <f t="shared" si="38"/>
        <v/>
      </c>
      <c r="H442" s="11" t="str">
        <f t="shared" si="39"/>
        <v/>
      </c>
      <c r="I442" s="12" t="str">
        <f t="shared" si="40"/>
        <v/>
      </c>
      <c r="J442" s="13" t="str">
        <f t="shared" si="41"/>
        <v/>
      </c>
    </row>
    <row r="443" spans="1:10" ht="23.1" customHeight="1">
      <c r="A443" s="1" t="str">
        <f>IF(COUNTA(B443:C443)=0,"",435)</f>
        <v/>
      </c>
      <c r="B443" s="8"/>
      <c r="C443" s="9"/>
      <c r="D443" s="10" t="str">
        <f t="shared" si="36"/>
        <v/>
      </c>
      <c r="E443" s="1"/>
      <c r="F443" s="11" t="str">
        <f t="shared" si="37"/>
        <v/>
      </c>
      <c r="G443" s="11" t="str">
        <f t="shared" si="38"/>
        <v/>
      </c>
      <c r="H443" s="11" t="str">
        <f t="shared" si="39"/>
        <v/>
      </c>
      <c r="I443" s="12" t="str">
        <f t="shared" si="40"/>
        <v/>
      </c>
      <c r="J443" s="13" t="str">
        <f t="shared" si="41"/>
        <v/>
      </c>
    </row>
    <row r="444" spans="1:10" ht="23.1" customHeight="1">
      <c r="A444" s="1" t="str">
        <f>IF(COUNTA(B444:C444)=0,"",436)</f>
        <v/>
      </c>
      <c r="B444" s="8"/>
      <c r="C444" s="9"/>
      <c r="D444" s="10" t="str">
        <f t="shared" si="36"/>
        <v/>
      </c>
      <c r="E444" s="1"/>
      <c r="F444" s="11" t="str">
        <f t="shared" si="37"/>
        <v/>
      </c>
      <c r="G444" s="11" t="str">
        <f t="shared" si="38"/>
        <v/>
      </c>
      <c r="H444" s="11" t="str">
        <f t="shared" si="39"/>
        <v/>
      </c>
      <c r="I444" s="12" t="str">
        <f t="shared" si="40"/>
        <v/>
      </c>
      <c r="J444" s="13" t="str">
        <f t="shared" si="41"/>
        <v/>
      </c>
    </row>
    <row r="445" spans="1:10" ht="23.1" customHeight="1">
      <c r="A445" s="1" t="str">
        <f>IF(COUNTA(B445:C445)=0,"",437)</f>
        <v/>
      </c>
      <c r="B445" s="8"/>
      <c r="C445" s="9"/>
      <c r="D445" s="10" t="str">
        <f t="shared" si="36"/>
        <v/>
      </c>
      <c r="E445" s="1"/>
      <c r="F445" s="11" t="str">
        <f t="shared" si="37"/>
        <v/>
      </c>
      <c r="G445" s="11" t="str">
        <f t="shared" si="38"/>
        <v/>
      </c>
      <c r="H445" s="11" t="str">
        <f t="shared" si="39"/>
        <v/>
      </c>
      <c r="I445" s="12" t="str">
        <f t="shared" si="40"/>
        <v/>
      </c>
      <c r="J445" s="13" t="str">
        <f t="shared" si="41"/>
        <v/>
      </c>
    </row>
    <row r="446" spans="1:10" ht="23.1" customHeight="1">
      <c r="A446" s="1" t="str">
        <f>IF(COUNTA(B446:C446)=0,"",438)</f>
        <v/>
      </c>
      <c r="B446" s="8"/>
      <c r="C446" s="9"/>
      <c r="D446" s="10" t="str">
        <f t="shared" si="36"/>
        <v/>
      </c>
      <c r="E446" s="1"/>
      <c r="F446" s="11" t="str">
        <f t="shared" si="37"/>
        <v/>
      </c>
      <c r="G446" s="11" t="str">
        <f t="shared" si="38"/>
        <v/>
      </c>
      <c r="H446" s="11" t="str">
        <f t="shared" si="39"/>
        <v/>
      </c>
      <c r="I446" s="12" t="str">
        <f t="shared" si="40"/>
        <v/>
      </c>
      <c r="J446" s="13" t="str">
        <f t="shared" si="41"/>
        <v/>
      </c>
    </row>
    <row r="447" spans="1:10" ht="23.1" customHeight="1">
      <c r="A447" s="1" t="str">
        <f>IF(COUNTA(B447:C447)=0,"",439)</f>
        <v/>
      </c>
      <c r="B447" s="8"/>
      <c r="C447" s="9"/>
      <c r="D447" s="10" t="str">
        <f t="shared" si="36"/>
        <v/>
      </c>
      <c r="E447" s="1"/>
      <c r="F447" s="11" t="str">
        <f t="shared" si="37"/>
        <v/>
      </c>
      <c r="G447" s="11" t="str">
        <f t="shared" si="38"/>
        <v/>
      </c>
      <c r="H447" s="11" t="str">
        <f t="shared" si="39"/>
        <v/>
      </c>
      <c r="I447" s="12" t="str">
        <f t="shared" si="40"/>
        <v/>
      </c>
      <c r="J447" s="13" t="str">
        <f t="shared" si="41"/>
        <v/>
      </c>
    </row>
    <row r="448" spans="1:10" ht="23.1" customHeight="1">
      <c r="A448" s="1" t="str">
        <f>IF(COUNTA(B448:C448)=0,"",440)</f>
        <v/>
      </c>
      <c r="B448" s="8"/>
      <c r="C448" s="9"/>
      <c r="D448" s="10" t="str">
        <f t="shared" si="36"/>
        <v/>
      </c>
      <c r="E448" s="1"/>
      <c r="F448" s="11" t="str">
        <f t="shared" si="37"/>
        <v/>
      </c>
      <c r="G448" s="11" t="str">
        <f t="shared" si="38"/>
        <v/>
      </c>
      <c r="H448" s="11" t="str">
        <f t="shared" si="39"/>
        <v/>
      </c>
      <c r="I448" s="12" t="str">
        <f t="shared" si="40"/>
        <v/>
      </c>
      <c r="J448" s="13" t="str">
        <f t="shared" si="41"/>
        <v/>
      </c>
    </row>
    <row r="449" spans="1:10" ht="23.1" customHeight="1">
      <c r="A449" s="1" t="str">
        <f>IF(COUNTA(B449:C449)=0,"",441)</f>
        <v/>
      </c>
      <c r="B449" s="8"/>
      <c r="C449" s="9"/>
      <c r="D449" s="10" t="str">
        <f t="shared" si="36"/>
        <v/>
      </c>
      <c r="E449" s="1"/>
      <c r="F449" s="11" t="str">
        <f t="shared" si="37"/>
        <v/>
      </c>
      <c r="G449" s="11" t="str">
        <f t="shared" si="38"/>
        <v/>
      </c>
      <c r="H449" s="11" t="str">
        <f t="shared" si="39"/>
        <v/>
      </c>
      <c r="I449" s="12" t="str">
        <f t="shared" si="40"/>
        <v/>
      </c>
      <c r="J449" s="13" t="str">
        <f t="shared" si="41"/>
        <v/>
      </c>
    </row>
    <row r="450" spans="1:10" ht="23.1" customHeight="1">
      <c r="A450" s="1" t="str">
        <f>IF(COUNTA(B450:C450)=0,"",442)</f>
        <v/>
      </c>
      <c r="B450" s="8"/>
      <c r="C450" s="9"/>
      <c r="D450" s="10" t="str">
        <f t="shared" si="36"/>
        <v/>
      </c>
      <c r="E450" s="1"/>
      <c r="F450" s="11" t="str">
        <f t="shared" si="37"/>
        <v/>
      </c>
      <c r="G450" s="11" t="str">
        <f t="shared" si="38"/>
        <v/>
      </c>
      <c r="H450" s="11" t="str">
        <f t="shared" si="39"/>
        <v/>
      </c>
      <c r="I450" s="12" t="str">
        <f t="shared" si="40"/>
        <v/>
      </c>
      <c r="J450" s="13" t="str">
        <f t="shared" si="41"/>
        <v/>
      </c>
    </row>
    <row r="451" spans="1:10" ht="23.1" customHeight="1">
      <c r="A451" s="1" t="str">
        <f>IF(COUNTA(B451:C451)=0,"",443)</f>
        <v/>
      </c>
      <c r="B451" s="8"/>
      <c r="C451" s="9"/>
      <c r="D451" s="10" t="str">
        <f t="shared" si="36"/>
        <v/>
      </c>
      <c r="E451" s="1"/>
      <c r="F451" s="11" t="str">
        <f t="shared" si="37"/>
        <v/>
      </c>
      <c r="G451" s="11" t="str">
        <f t="shared" si="38"/>
        <v/>
      </c>
      <c r="H451" s="11" t="str">
        <f t="shared" si="39"/>
        <v/>
      </c>
      <c r="I451" s="12" t="str">
        <f t="shared" si="40"/>
        <v/>
      </c>
      <c r="J451" s="13" t="str">
        <f t="shared" si="41"/>
        <v/>
      </c>
    </row>
    <row r="452" spans="1:10" ht="23.1" customHeight="1">
      <c r="A452" s="1" t="str">
        <f>IF(COUNTA(B452:C452)=0,"",444)</f>
        <v/>
      </c>
      <c r="B452" s="8"/>
      <c r="C452" s="9"/>
      <c r="D452" s="10" t="str">
        <f t="shared" si="36"/>
        <v/>
      </c>
      <c r="E452" s="1"/>
      <c r="F452" s="11" t="str">
        <f t="shared" si="37"/>
        <v/>
      </c>
      <c r="G452" s="11" t="str">
        <f t="shared" si="38"/>
        <v/>
      </c>
      <c r="H452" s="11" t="str">
        <f t="shared" si="39"/>
        <v/>
      </c>
      <c r="I452" s="12" t="str">
        <f t="shared" si="40"/>
        <v/>
      </c>
      <c r="J452" s="13" t="str">
        <f t="shared" si="41"/>
        <v/>
      </c>
    </row>
    <row r="453" spans="1:10" ht="23.1" customHeight="1">
      <c r="A453" s="1" t="str">
        <f>IF(COUNTA(B453:C453)=0,"",445)</f>
        <v/>
      </c>
      <c r="B453" s="8"/>
      <c r="C453" s="9"/>
      <c r="D453" s="10" t="str">
        <f t="shared" si="36"/>
        <v/>
      </c>
      <c r="E453" s="1"/>
      <c r="F453" s="11" t="str">
        <f t="shared" si="37"/>
        <v/>
      </c>
      <c r="G453" s="11" t="str">
        <f t="shared" si="38"/>
        <v/>
      </c>
      <c r="H453" s="11" t="str">
        <f t="shared" si="39"/>
        <v/>
      </c>
      <c r="I453" s="12" t="str">
        <f t="shared" si="40"/>
        <v/>
      </c>
      <c r="J453" s="13" t="str">
        <f t="shared" si="41"/>
        <v/>
      </c>
    </row>
    <row r="454" spans="1:10" ht="23.1" customHeight="1">
      <c r="A454" s="1" t="str">
        <f>IF(COUNTA(B454:C454)=0,"",446)</f>
        <v/>
      </c>
      <c r="B454" s="8"/>
      <c r="C454" s="9"/>
      <c r="D454" s="10" t="str">
        <f t="shared" si="36"/>
        <v/>
      </c>
      <c r="E454" s="1"/>
      <c r="F454" s="11" t="str">
        <f t="shared" si="37"/>
        <v/>
      </c>
      <c r="G454" s="11" t="str">
        <f t="shared" si="38"/>
        <v/>
      </c>
      <c r="H454" s="11" t="str">
        <f t="shared" si="39"/>
        <v/>
      </c>
      <c r="I454" s="12" t="str">
        <f t="shared" si="40"/>
        <v/>
      </c>
      <c r="J454" s="13" t="str">
        <f t="shared" si="41"/>
        <v/>
      </c>
    </row>
    <row r="455" spans="1:10" ht="23.1" customHeight="1">
      <c r="A455" s="1" t="str">
        <f>IF(COUNTA(B455:C455)=0,"",447)</f>
        <v/>
      </c>
      <c r="B455" s="8"/>
      <c r="C455" s="9"/>
      <c r="D455" s="10" t="str">
        <f t="shared" si="36"/>
        <v/>
      </c>
      <c r="E455" s="1"/>
      <c r="F455" s="11" t="str">
        <f t="shared" si="37"/>
        <v/>
      </c>
      <c r="G455" s="11" t="str">
        <f t="shared" si="38"/>
        <v/>
      </c>
      <c r="H455" s="11" t="str">
        <f t="shared" si="39"/>
        <v/>
      </c>
      <c r="I455" s="12" t="str">
        <f t="shared" si="40"/>
        <v/>
      </c>
      <c r="J455" s="13" t="str">
        <f t="shared" si="41"/>
        <v/>
      </c>
    </row>
    <row r="456" spans="1:10" ht="23.1" customHeight="1">
      <c r="A456" s="1" t="str">
        <f>IF(COUNTA(B456:C456)=0,"",448)</f>
        <v/>
      </c>
      <c r="B456" s="8"/>
      <c r="C456" s="9"/>
      <c r="D456" s="10" t="str">
        <f t="shared" si="36"/>
        <v/>
      </c>
      <c r="E456" s="1"/>
      <c r="F456" s="11" t="str">
        <f t="shared" si="37"/>
        <v/>
      </c>
      <c r="G456" s="11" t="str">
        <f t="shared" si="38"/>
        <v/>
      </c>
      <c r="H456" s="11" t="str">
        <f t="shared" si="39"/>
        <v/>
      </c>
      <c r="I456" s="12" t="str">
        <f t="shared" si="40"/>
        <v/>
      </c>
      <c r="J456" s="13" t="str">
        <f t="shared" si="41"/>
        <v/>
      </c>
    </row>
    <row r="457" spans="1:10" ht="23.1" customHeight="1">
      <c r="A457" s="1" t="str">
        <f>IF(COUNTA(B457:C457)=0,"",449)</f>
        <v/>
      </c>
      <c r="B457" s="8"/>
      <c r="C457" s="9"/>
      <c r="D457" s="10" t="str">
        <f t="shared" ref="D457:D520" si="42">IF(NOT(ISNUMBER(C457)),"",ROUND(C457*30%,2))</f>
        <v/>
      </c>
      <c r="E457" s="1"/>
      <c r="F457" s="11" t="str">
        <f t="shared" ref="F457:F520" si="43">IF(NOT(ISNUMBER(C457)),"",ROUND(H457*30%,2))</f>
        <v/>
      </c>
      <c r="G457" s="11" t="str">
        <f t="shared" ref="G457:G520" si="44">IF(NOT(ISNUMBER(C457)),"",ROUND(H457-F457,2))</f>
        <v/>
      </c>
      <c r="H457" s="11" t="str">
        <f t="shared" ref="H457:H520" si="45">IF(NOT(ISNUMBER(C457)),"",ROUND(C457-D457,2))</f>
        <v/>
      </c>
      <c r="I457" s="12" t="str">
        <f t="shared" ref="I457:I520" si="46">IF(NOT(ISNUMBER(C457)),"",ROUND(C457-SUM(D457,F457:G457),2))</f>
        <v/>
      </c>
      <c r="J457" s="13" t="str">
        <f t="shared" ref="J457:J520" si="47">IF(COUNTA(B457:C457)=0,"",IF(B457="","Falta apartamento",IF(NOT(ISNUMBER(C457)),"Falta valor","Completo")))</f>
        <v/>
      </c>
    </row>
    <row r="458" spans="1:10" ht="23.1" customHeight="1">
      <c r="A458" s="1" t="str">
        <f>IF(COUNTA(B458:C458)=0,"",450)</f>
        <v/>
      </c>
      <c r="B458" s="8"/>
      <c r="C458" s="9"/>
      <c r="D458" s="10" t="str">
        <f t="shared" si="42"/>
        <v/>
      </c>
      <c r="E458" s="1"/>
      <c r="F458" s="11" t="str">
        <f t="shared" si="43"/>
        <v/>
      </c>
      <c r="G458" s="11" t="str">
        <f t="shared" si="44"/>
        <v/>
      </c>
      <c r="H458" s="11" t="str">
        <f t="shared" si="45"/>
        <v/>
      </c>
      <c r="I458" s="12" t="str">
        <f t="shared" si="46"/>
        <v/>
      </c>
      <c r="J458" s="13" t="str">
        <f t="shared" si="47"/>
        <v/>
      </c>
    </row>
    <row r="459" spans="1:10" ht="23.1" customHeight="1">
      <c r="A459" s="1" t="str">
        <f>IF(COUNTA(B459:C459)=0,"",451)</f>
        <v/>
      </c>
      <c r="B459" s="8"/>
      <c r="C459" s="9"/>
      <c r="D459" s="10" t="str">
        <f t="shared" si="42"/>
        <v/>
      </c>
      <c r="E459" s="1"/>
      <c r="F459" s="11" t="str">
        <f t="shared" si="43"/>
        <v/>
      </c>
      <c r="G459" s="11" t="str">
        <f t="shared" si="44"/>
        <v/>
      </c>
      <c r="H459" s="11" t="str">
        <f t="shared" si="45"/>
        <v/>
      </c>
      <c r="I459" s="12" t="str">
        <f t="shared" si="46"/>
        <v/>
      </c>
      <c r="J459" s="13" t="str">
        <f t="shared" si="47"/>
        <v/>
      </c>
    </row>
    <row r="460" spans="1:10" ht="23.1" customHeight="1">
      <c r="A460" s="1" t="str">
        <f>IF(COUNTA(B460:C460)=0,"",452)</f>
        <v/>
      </c>
      <c r="B460" s="8"/>
      <c r="C460" s="9"/>
      <c r="D460" s="10" t="str">
        <f t="shared" si="42"/>
        <v/>
      </c>
      <c r="E460" s="1"/>
      <c r="F460" s="11" t="str">
        <f t="shared" si="43"/>
        <v/>
      </c>
      <c r="G460" s="11" t="str">
        <f t="shared" si="44"/>
        <v/>
      </c>
      <c r="H460" s="11" t="str">
        <f t="shared" si="45"/>
        <v/>
      </c>
      <c r="I460" s="12" t="str">
        <f t="shared" si="46"/>
        <v/>
      </c>
      <c r="J460" s="13" t="str">
        <f t="shared" si="47"/>
        <v/>
      </c>
    </row>
    <row r="461" spans="1:10" ht="23.1" customHeight="1">
      <c r="A461" s="1" t="str">
        <f>IF(COUNTA(B461:C461)=0,"",453)</f>
        <v/>
      </c>
      <c r="B461" s="8"/>
      <c r="C461" s="9"/>
      <c r="D461" s="10" t="str">
        <f t="shared" si="42"/>
        <v/>
      </c>
      <c r="E461" s="1"/>
      <c r="F461" s="11" t="str">
        <f t="shared" si="43"/>
        <v/>
      </c>
      <c r="G461" s="11" t="str">
        <f t="shared" si="44"/>
        <v/>
      </c>
      <c r="H461" s="11" t="str">
        <f t="shared" si="45"/>
        <v/>
      </c>
      <c r="I461" s="12" t="str">
        <f t="shared" si="46"/>
        <v/>
      </c>
      <c r="J461" s="13" t="str">
        <f t="shared" si="47"/>
        <v/>
      </c>
    </row>
    <row r="462" spans="1:10" ht="23.1" customHeight="1">
      <c r="A462" s="1" t="str">
        <f>IF(COUNTA(B462:C462)=0,"",454)</f>
        <v/>
      </c>
      <c r="B462" s="8"/>
      <c r="C462" s="9"/>
      <c r="D462" s="10" t="str">
        <f t="shared" si="42"/>
        <v/>
      </c>
      <c r="E462" s="1"/>
      <c r="F462" s="11" t="str">
        <f t="shared" si="43"/>
        <v/>
      </c>
      <c r="G462" s="11" t="str">
        <f t="shared" si="44"/>
        <v/>
      </c>
      <c r="H462" s="11" t="str">
        <f t="shared" si="45"/>
        <v/>
      </c>
      <c r="I462" s="12" t="str">
        <f t="shared" si="46"/>
        <v/>
      </c>
      <c r="J462" s="13" t="str">
        <f t="shared" si="47"/>
        <v/>
      </c>
    </row>
    <row r="463" spans="1:10" ht="23.1" customHeight="1">
      <c r="A463" s="1" t="str">
        <f>IF(COUNTA(B463:C463)=0,"",455)</f>
        <v/>
      </c>
      <c r="B463" s="8"/>
      <c r="C463" s="9"/>
      <c r="D463" s="10" t="str">
        <f t="shared" si="42"/>
        <v/>
      </c>
      <c r="E463" s="1"/>
      <c r="F463" s="11" t="str">
        <f t="shared" si="43"/>
        <v/>
      </c>
      <c r="G463" s="11" t="str">
        <f t="shared" si="44"/>
        <v/>
      </c>
      <c r="H463" s="11" t="str">
        <f t="shared" si="45"/>
        <v/>
      </c>
      <c r="I463" s="12" t="str">
        <f t="shared" si="46"/>
        <v/>
      </c>
      <c r="J463" s="13" t="str">
        <f t="shared" si="47"/>
        <v/>
      </c>
    </row>
    <row r="464" spans="1:10" ht="23.1" customHeight="1">
      <c r="A464" s="1" t="str">
        <f>IF(COUNTA(B464:C464)=0,"",456)</f>
        <v/>
      </c>
      <c r="B464" s="8"/>
      <c r="C464" s="9"/>
      <c r="D464" s="10" t="str">
        <f t="shared" si="42"/>
        <v/>
      </c>
      <c r="E464" s="1"/>
      <c r="F464" s="11" t="str">
        <f t="shared" si="43"/>
        <v/>
      </c>
      <c r="G464" s="11" t="str">
        <f t="shared" si="44"/>
        <v/>
      </c>
      <c r="H464" s="11" t="str">
        <f t="shared" si="45"/>
        <v/>
      </c>
      <c r="I464" s="12" t="str">
        <f t="shared" si="46"/>
        <v/>
      </c>
      <c r="J464" s="13" t="str">
        <f t="shared" si="47"/>
        <v/>
      </c>
    </row>
    <row r="465" spans="1:10" ht="23.1" customHeight="1">
      <c r="A465" s="1" t="str">
        <f>IF(COUNTA(B465:C465)=0,"",457)</f>
        <v/>
      </c>
      <c r="B465" s="8"/>
      <c r="C465" s="9"/>
      <c r="D465" s="10" t="str">
        <f t="shared" si="42"/>
        <v/>
      </c>
      <c r="E465" s="1"/>
      <c r="F465" s="11" t="str">
        <f t="shared" si="43"/>
        <v/>
      </c>
      <c r="G465" s="11" t="str">
        <f t="shared" si="44"/>
        <v/>
      </c>
      <c r="H465" s="11" t="str">
        <f t="shared" si="45"/>
        <v/>
      </c>
      <c r="I465" s="12" t="str">
        <f t="shared" si="46"/>
        <v/>
      </c>
      <c r="J465" s="13" t="str">
        <f t="shared" si="47"/>
        <v/>
      </c>
    </row>
    <row r="466" spans="1:10" ht="23.1" customHeight="1">
      <c r="A466" s="1" t="str">
        <f>IF(COUNTA(B466:C466)=0,"",458)</f>
        <v/>
      </c>
      <c r="B466" s="8"/>
      <c r="C466" s="9"/>
      <c r="D466" s="10" t="str">
        <f t="shared" si="42"/>
        <v/>
      </c>
      <c r="E466" s="1"/>
      <c r="F466" s="11" t="str">
        <f t="shared" si="43"/>
        <v/>
      </c>
      <c r="G466" s="11" t="str">
        <f t="shared" si="44"/>
        <v/>
      </c>
      <c r="H466" s="11" t="str">
        <f t="shared" si="45"/>
        <v/>
      </c>
      <c r="I466" s="12" t="str">
        <f t="shared" si="46"/>
        <v/>
      </c>
      <c r="J466" s="13" t="str">
        <f t="shared" si="47"/>
        <v/>
      </c>
    </row>
    <row r="467" spans="1:10" ht="23.1" customHeight="1">
      <c r="A467" s="1" t="str">
        <f>IF(COUNTA(B467:C467)=0,"",459)</f>
        <v/>
      </c>
      <c r="B467" s="8"/>
      <c r="C467" s="9"/>
      <c r="D467" s="10" t="str">
        <f t="shared" si="42"/>
        <v/>
      </c>
      <c r="E467" s="1"/>
      <c r="F467" s="11" t="str">
        <f t="shared" si="43"/>
        <v/>
      </c>
      <c r="G467" s="11" t="str">
        <f t="shared" si="44"/>
        <v/>
      </c>
      <c r="H467" s="11" t="str">
        <f t="shared" si="45"/>
        <v/>
      </c>
      <c r="I467" s="12" t="str">
        <f t="shared" si="46"/>
        <v/>
      </c>
      <c r="J467" s="13" t="str">
        <f t="shared" si="47"/>
        <v/>
      </c>
    </row>
    <row r="468" spans="1:10" ht="23.1" customHeight="1">
      <c r="A468" s="1" t="str">
        <f>IF(COUNTA(B468:C468)=0,"",460)</f>
        <v/>
      </c>
      <c r="B468" s="8"/>
      <c r="C468" s="9"/>
      <c r="D468" s="10" t="str">
        <f t="shared" si="42"/>
        <v/>
      </c>
      <c r="E468" s="1"/>
      <c r="F468" s="11" t="str">
        <f t="shared" si="43"/>
        <v/>
      </c>
      <c r="G468" s="11" t="str">
        <f t="shared" si="44"/>
        <v/>
      </c>
      <c r="H468" s="11" t="str">
        <f t="shared" si="45"/>
        <v/>
      </c>
      <c r="I468" s="12" t="str">
        <f t="shared" si="46"/>
        <v/>
      </c>
      <c r="J468" s="13" t="str">
        <f t="shared" si="47"/>
        <v/>
      </c>
    </row>
    <row r="469" spans="1:10" ht="23.1" customHeight="1">
      <c r="A469" s="1" t="str">
        <f>IF(COUNTA(B469:C469)=0,"",461)</f>
        <v/>
      </c>
      <c r="B469" s="8"/>
      <c r="C469" s="9"/>
      <c r="D469" s="10" t="str">
        <f t="shared" si="42"/>
        <v/>
      </c>
      <c r="E469" s="1"/>
      <c r="F469" s="11" t="str">
        <f t="shared" si="43"/>
        <v/>
      </c>
      <c r="G469" s="11" t="str">
        <f t="shared" si="44"/>
        <v/>
      </c>
      <c r="H469" s="11" t="str">
        <f t="shared" si="45"/>
        <v/>
      </c>
      <c r="I469" s="12" t="str">
        <f t="shared" si="46"/>
        <v/>
      </c>
      <c r="J469" s="13" t="str">
        <f t="shared" si="47"/>
        <v/>
      </c>
    </row>
    <row r="470" spans="1:10" ht="23.1" customHeight="1">
      <c r="A470" s="1" t="str">
        <f>IF(COUNTA(B470:C470)=0,"",462)</f>
        <v/>
      </c>
      <c r="B470" s="8"/>
      <c r="C470" s="9"/>
      <c r="D470" s="10" t="str">
        <f t="shared" si="42"/>
        <v/>
      </c>
      <c r="E470" s="1"/>
      <c r="F470" s="11" t="str">
        <f t="shared" si="43"/>
        <v/>
      </c>
      <c r="G470" s="11" t="str">
        <f t="shared" si="44"/>
        <v/>
      </c>
      <c r="H470" s="11" t="str">
        <f t="shared" si="45"/>
        <v/>
      </c>
      <c r="I470" s="12" t="str">
        <f t="shared" si="46"/>
        <v/>
      </c>
      <c r="J470" s="13" t="str">
        <f t="shared" si="47"/>
        <v/>
      </c>
    </row>
    <row r="471" spans="1:10" ht="23.1" customHeight="1">
      <c r="A471" s="1" t="str">
        <f>IF(COUNTA(B471:C471)=0,"",463)</f>
        <v/>
      </c>
      <c r="B471" s="8"/>
      <c r="C471" s="9"/>
      <c r="D471" s="10" t="str">
        <f t="shared" si="42"/>
        <v/>
      </c>
      <c r="E471" s="1"/>
      <c r="F471" s="11" t="str">
        <f t="shared" si="43"/>
        <v/>
      </c>
      <c r="G471" s="11" t="str">
        <f t="shared" si="44"/>
        <v/>
      </c>
      <c r="H471" s="11" t="str">
        <f t="shared" si="45"/>
        <v/>
      </c>
      <c r="I471" s="12" t="str">
        <f t="shared" si="46"/>
        <v/>
      </c>
      <c r="J471" s="13" t="str">
        <f t="shared" si="47"/>
        <v/>
      </c>
    </row>
    <row r="472" spans="1:10" ht="23.1" customHeight="1">
      <c r="A472" s="1" t="str">
        <f>IF(COUNTA(B472:C472)=0,"",464)</f>
        <v/>
      </c>
      <c r="B472" s="8"/>
      <c r="C472" s="9"/>
      <c r="D472" s="10" t="str">
        <f t="shared" si="42"/>
        <v/>
      </c>
      <c r="E472" s="1"/>
      <c r="F472" s="11" t="str">
        <f t="shared" si="43"/>
        <v/>
      </c>
      <c r="G472" s="11" t="str">
        <f t="shared" si="44"/>
        <v/>
      </c>
      <c r="H472" s="11" t="str">
        <f t="shared" si="45"/>
        <v/>
      </c>
      <c r="I472" s="12" t="str">
        <f t="shared" si="46"/>
        <v/>
      </c>
      <c r="J472" s="13" t="str">
        <f t="shared" si="47"/>
        <v/>
      </c>
    </row>
    <row r="473" spans="1:10" ht="23.1" customHeight="1">
      <c r="A473" s="1" t="str">
        <f>IF(COUNTA(B473:C473)=0,"",465)</f>
        <v/>
      </c>
      <c r="B473" s="8"/>
      <c r="C473" s="9"/>
      <c r="D473" s="10" t="str">
        <f t="shared" si="42"/>
        <v/>
      </c>
      <c r="E473" s="1"/>
      <c r="F473" s="11" t="str">
        <f t="shared" si="43"/>
        <v/>
      </c>
      <c r="G473" s="11" t="str">
        <f t="shared" si="44"/>
        <v/>
      </c>
      <c r="H473" s="11" t="str">
        <f t="shared" si="45"/>
        <v/>
      </c>
      <c r="I473" s="12" t="str">
        <f t="shared" si="46"/>
        <v/>
      </c>
      <c r="J473" s="13" t="str">
        <f t="shared" si="47"/>
        <v/>
      </c>
    </row>
    <row r="474" spans="1:10" ht="23.1" customHeight="1">
      <c r="A474" s="1" t="str">
        <f>IF(COUNTA(B474:C474)=0,"",466)</f>
        <v/>
      </c>
      <c r="B474" s="8"/>
      <c r="C474" s="9"/>
      <c r="D474" s="10" t="str">
        <f t="shared" si="42"/>
        <v/>
      </c>
      <c r="E474" s="1"/>
      <c r="F474" s="11" t="str">
        <f t="shared" si="43"/>
        <v/>
      </c>
      <c r="G474" s="11" t="str">
        <f t="shared" si="44"/>
        <v/>
      </c>
      <c r="H474" s="11" t="str">
        <f t="shared" si="45"/>
        <v/>
      </c>
      <c r="I474" s="12" t="str">
        <f t="shared" si="46"/>
        <v/>
      </c>
      <c r="J474" s="13" t="str">
        <f t="shared" si="47"/>
        <v/>
      </c>
    </row>
    <row r="475" spans="1:10" ht="23.1" customHeight="1">
      <c r="A475" s="1" t="str">
        <f>IF(COUNTA(B475:C475)=0,"",467)</f>
        <v/>
      </c>
      <c r="B475" s="8"/>
      <c r="C475" s="9"/>
      <c r="D475" s="10" t="str">
        <f t="shared" si="42"/>
        <v/>
      </c>
      <c r="E475" s="1"/>
      <c r="F475" s="11" t="str">
        <f t="shared" si="43"/>
        <v/>
      </c>
      <c r="G475" s="11" t="str">
        <f t="shared" si="44"/>
        <v/>
      </c>
      <c r="H475" s="11" t="str">
        <f t="shared" si="45"/>
        <v/>
      </c>
      <c r="I475" s="12" t="str">
        <f t="shared" si="46"/>
        <v/>
      </c>
      <c r="J475" s="13" t="str">
        <f t="shared" si="47"/>
        <v/>
      </c>
    </row>
    <row r="476" spans="1:10" ht="23.1" customHeight="1">
      <c r="A476" s="1" t="str">
        <f>IF(COUNTA(B476:C476)=0,"",468)</f>
        <v/>
      </c>
      <c r="B476" s="8"/>
      <c r="C476" s="9"/>
      <c r="D476" s="10" t="str">
        <f t="shared" si="42"/>
        <v/>
      </c>
      <c r="E476" s="1"/>
      <c r="F476" s="11" t="str">
        <f t="shared" si="43"/>
        <v/>
      </c>
      <c r="G476" s="11" t="str">
        <f t="shared" si="44"/>
        <v/>
      </c>
      <c r="H476" s="11" t="str">
        <f t="shared" si="45"/>
        <v/>
      </c>
      <c r="I476" s="12" t="str">
        <f t="shared" si="46"/>
        <v/>
      </c>
      <c r="J476" s="13" t="str">
        <f t="shared" si="47"/>
        <v/>
      </c>
    </row>
    <row r="477" spans="1:10" ht="23.1" customHeight="1">
      <c r="A477" s="1" t="str">
        <f>IF(COUNTA(B477:C477)=0,"",469)</f>
        <v/>
      </c>
      <c r="B477" s="8"/>
      <c r="C477" s="9"/>
      <c r="D477" s="10" t="str">
        <f t="shared" si="42"/>
        <v/>
      </c>
      <c r="E477" s="1"/>
      <c r="F477" s="11" t="str">
        <f t="shared" si="43"/>
        <v/>
      </c>
      <c r="G477" s="11" t="str">
        <f t="shared" si="44"/>
        <v/>
      </c>
      <c r="H477" s="11" t="str">
        <f t="shared" si="45"/>
        <v/>
      </c>
      <c r="I477" s="12" t="str">
        <f t="shared" si="46"/>
        <v/>
      </c>
      <c r="J477" s="13" t="str">
        <f t="shared" si="47"/>
        <v/>
      </c>
    </row>
    <row r="478" spans="1:10" ht="23.1" customHeight="1">
      <c r="A478" s="1" t="str">
        <f>IF(COUNTA(B478:C478)=0,"",470)</f>
        <v/>
      </c>
      <c r="B478" s="8"/>
      <c r="C478" s="9"/>
      <c r="D478" s="10" t="str">
        <f t="shared" si="42"/>
        <v/>
      </c>
      <c r="E478" s="1"/>
      <c r="F478" s="11" t="str">
        <f t="shared" si="43"/>
        <v/>
      </c>
      <c r="G478" s="11" t="str">
        <f t="shared" si="44"/>
        <v/>
      </c>
      <c r="H478" s="11" t="str">
        <f t="shared" si="45"/>
        <v/>
      </c>
      <c r="I478" s="12" t="str">
        <f t="shared" si="46"/>
        <v/>
      </c>
      <c r="J478" s="13" t="str">
        <f t="shared" si="47"/>
        <v/>
      </c>
    </row>
    <row r="479" spans="1:10" ht="23.1" customHeight="1">
      <c r="A479" s="1" t="str">
        <f>IF(COUNTA(B479:C479)=0,"",471)</f>
        <v/>
      </c>
      <c r="B479" s="8"/>
      <c r="C479" s="9"/>
      <c r="D479" s="10" t="str">
        <f t="shared" si="42"/>
        <v/>
      </c>
      <c r="E479" s="1"/>
      <c r="F479" s="11" t="str">
        <f t="shared" si="43"/>
        <v/>
      </c>
      <c r="G479" s="11" t="str">
        <f t="shared" si="44"/>
        <v/>
      </c>
      <c r="H479" s="11" t="str">
        <f t="shared" si="45"/>
        <v/>
      </c>
      <c r="I479" s="12" t="str">
        <f t="shared" si="46"/>
        <v/>
      </c>
      <c r="J479" s="13" t="str">
        <f t="shared" si="47"/>
        <v/>
      </c>
    </row>
    <row r="480" spans="1:10" ht="23.1" customHeight="1">
      <c r="A480" s="1" t="str">
        <f>IF(COUNTA(B480:C480)=0,"",472)</f>
        <v/>
      </c>
      <c r="B480" s="8"/>
      <c r="C480" s="9"/>
      <c r="D480" s="10" t="str">
        <f t="shared" si="42"/>
        <v/>
      </c>
      <c r="E480" s="1"/>
      <c r="F480" s="11" t="str">
        <f t="shared" si="43"/>
        <v/>
      </c>
      <c r="G480" s="11" t="str">
        <f t="shared" si="44"/>
        <v/>
      </c>
      <c r="H480" s="11" t="str">
        <f t="shared" si="45"/>
        <v/>
      </c>
      <c r="I480" s="12" t="str">
        <f t="shared" si="46"/>
        <v/>
      </c>
      <c r="J480" s="13" t="str">
        <f t="shared" si="47"/>
        <v/>
      </c>
    </row>
    <row r="481" spans="1:10" ht="23.1" customHeight="1">
      <c r="A481" s="1" t="str">
        <f>IF(COUNTA(B481:C481)=0,"",473)</f>
        <v/>
      </c>
      <c r="B481" s="8"/>
      <c r="C481" s="9"/>
      <c r="D481" s="10" t="str">
        <f t="shared" si="42"/>
        <v/>
      </c>
      <c r="E481" s="1"/>
      <c r="F481" s="11" t="str">
        <f t="shared" si="43"/>
        <v/>
      </c>
      <c r="G481" s="11" t="str">
        <f t="shared" si="44"/>
        <v/>
      </c>
      <c r="H481" s="11" t="str">
        <f t="shared" si="45"/>
        <v/>
      </c>
      <c r="I481" s="12" t="str">
        <f t="shared" si="46"/>
        <v/>
      </c>
      <c r="J481" s="13" t="str">
        <f t="shared" si="47"/>
        <v/>
      </c>
    </row>
    <row r="482" spans="1:10" ht="23.1" customHeight="1">
      <c r="A482" s="1" t="str">
        <f>IF(COUNTA(B482:C482)=0,"",474)</f>
        <v/>
      </c>
      <c r="B482" s="8"/>
      <c r="C482" s="9"/>
      <c r="D482" s="10" t="str">
        <f t="shared" si="42"/>
        <v/>
      </c>
      <c r="E482" s="1"/>
      <c r="F482" s="11" t="str">
        <f t="shared" si="43"/>
        <v/>
      </c>
      <c r="G482" s="11" t="str">
        <f t="shared" si="44"/>
        <v/>
      </c>
      <c r="H482" s="11" t="str">
        <f t="shared" si="45"/>
        <v/>
      </c>
      <c r="I482" s="12" t="str">
        <f t="shared" si="46"/>
        <v/>
      </c>
      <c r="J482" s="13" t="str">
        <f t="shared" si="47"/>
        <v/>
      </c>
    </row>
    <row r="483" spans="1:10" ht="23.1" customHeight="1">
      <c r="A483" s="1" t="str">
        <f>IF(COUNTA(B483:C483)=0,"",475)</f>
        <v/>
      </c>
      <c r="B483" s="8"/>
      <c r="C483" s="9"/>
      <c r="D483" s="10" t="str">
        <f t="shared" si="42"/>
        <v/>
      </c>
      <c r="E483" s="1"/>
      <c r="F483" s="11" t="str">
        <f t="shared" si="43"/>
        <v/>
      </c>
      <c r="G483" s="11" t="str">
        <f t="shared" si="44"/>
        <v/>
      </c>
      <c r="H483" s="11" t="str">
        <f t="shared" si="45"/>
        <v/>
      </c>
      <c r="I483" s="12" t="str">
        <f t="shared" si="46"/>
        <v/>
      </c>
      <c r="J483" s="13" t="str">
        <f t="shared" si="47"/>
        <v/>
      </c>
    </row>
    <row r="484" spans="1:10" ht="23.1" customHeight="1">
      <c r="A484" s="1" t="str">
        <f>IF(COUNTA(B484:C484)=0,"",476)</f>
        <v/>
      </c>
      <c r="B484" s="8"/>
      <c r="C484" s="9"/>
      <c r="D484" s="10" t="str">
        <f t="shared" si="42"/>
        <v/>
      </c>
      <c r="E484" s="1"/>
      <c r="F484" s="11" t="str">
        <f t="shared" si="43"/>
        <v/>
      </c>
      <c r="G484" s="11" t="str">
        <f t="shared" si="44"/>
        <v/>
      </c>
      <c r="H484" s="11" t="str">
        <f t="shared" si="45"/>
        <v/>
      </c>
      <c r="I484" s="12" t="str">
        <f t="shared" si="46"/>
        <v/>
      </c>
      <c r="J484" s="13" t="str">
        <f t="shared" si="47"/>
        <v/>
      </c>
    </row>
    <row r="485" spans="1:10" ht="23.1" customHeight="1">
      <c r="A485" s="1" t="str">
        <f>IF(COUNTA(B485:C485)=0,"",477)</f>
        <v/>
      </c>
      <c r="B485" s="8"/>
      <c r="C485" s="9"/>
      <c r="D485" s="10" t="str">
        <f t="shared" si="42"/>
        <v/>
      </c>
      <c r="E485" s="1"/>
      <c r="F485" s="11" t="str">
        <f t="shared" si="43"/>
        <v/>
      </c>
      <c r="G485" s="11" t="str">
        <f t="shared" si="44"/>
        <v/>
      </c>
      <c r="H485" s="11" t="str">
        <f t="shared" si="45"/>
        <v/>
      </c>
      <c r="I485" s="12" t="str">
        <f t="shared" si="46"/>
        <v/>
      </c>
      <c r="J485" s="13" t="str">
        <f t="shared" si="47"/>
        <v/>
      </c>
    </row>
    <row r="486" spans="1:10" ht="23.1" customHeight="1">
      <c r="A486" s="1" t="str">
        <f>IF(COUNTA(B486:C486)=0,"",478)</f>
        <v/>
      </c>
      <c r="B486" s="8"/>
      <c r="C486" s="9"/>
      <c r="D486" s="10" t="str">
        <f t="shared" si="42"/>
        <v/>
      </c>
      <c r="E486" s="1"/>
      <c r="F486" s="11" t="str">
        <f t="shared" si="43"/>
        <v/>
      </c>
      <c r="G486" s="11" t="str">
        <f t="shared" si="44"/>
        <v/>
      </c>
      <c r="H486" s="11" t="str">
        <f t="shared" si="45"/>
        <v/>
      </c>
      <c r="I486" s="12" t="str">
        <f t="shared" si="46"/>
        <v/>
      </c>
      <c r="J486" s="13" t="str">
        <f t="shared" si="47"/>
        <v/>
      </c>
    </row>
    <row r="487" spans="1:10" ht="23.1" customHeight="1">
      <c r="A487" s="1" t="str">
        <f>IF(COUNTA(B487:C487)=0,"",479)</f>
        <v/>
      </c>
      <c r="B487" s="8"/>
      <c r="C487" s="9"/>
      <c r="D487" s="10" t="str">
        <f t="shared" si="42"/>
        <v/>
      </c>
      <c r="E487" s="1"/>
      <c r="F487" s="11" t="str">
        <f t="shared" si="43"/>
        <v/>
      </c>
      <c r="G487" s="11" t="str">
        <f t="shared" si="44"/>
        <v/>
      </c>
      <c r="H487" s="11" t="str">
        <f t="shared" si="45"/>
        <v/>
      </c>
      <c r="I487" s="12" t="str">
        <f t="shared" si="46"/>
        <v/>
      </c>
      <c r="J487" s="13" t="str">
        <f t="shared" si="47"/>
        <v/>
      </c>
    </row>
    <row r="488" spans="1:10" ht="23.1" customHeight="1">
      <c r="A488" s="1" t="str">
        <f>IF(COUNTA(B488:C488)=0,"",480)</f>
        <v/>
      </c>
      <c r="B488" s="8"/>
      <c r="C488" s="9"/>
      <c r="D488" s="10" t="str">
        <f t="shared" si="42"/>
        <v/>
      </c>
      <c r="E488" s="1"/>
      <c r="F488" s="11" t="str">
        <f t="shared" si="43"/>
        <v/>
      </c>
      <c r="G488" s="11" t="str">
        <f t="shared" si="44"/>
        <v/>
      </c>
      <c r="H488" s="11" t="str">
        <f t="shared" si="45"/>
        <v/>
      </c>
      <c r="I488" s="12" t="str">
        <f t="shared" si="46"/>
        <v/>
      </c>
      <c r="J488" s="13" t="str">
        <f t="shared" si="47"/>
        <v/>
      </c>
    </row>
    <row r="489" spans="1:10" ht="23.1" customHeight="1">
      <c r="A489" s="1" t="str">
        <f>IF(COUNTA(B489:C489)=0,"",481)</f>
        <v/>
      </c>
      <c r="B489" s="8"/>
      <c r="C489" s="9"/>
      <c r="D489" s="10" t="str">
        <f t="shared" si="42"/>
        <v/>
      </c>
      <c r="E489" s="1"/>
      <c r="F489" s="11" t="str">
        <f t="shared" si="43"/>
        <v/>
      </c>
      <c r="G489" s="11" t="str">
        <f t="shared" si="44"/>
        <v/>
      </c>
      <c r="H489" s="11" t="str">
        <f t="shared" si="45"/>
        <v/>
      </c>
      <c r="I489" s="12" t="str">
        <f t="shared" si="46"/>
        <v/>
      </c>
      <c r="J489" s="13" t="str">
        <f t="shared" si="47"/>
        <v/>
      </c>
    </row>
    <row r="490" spans="1:10" ht="23.1" customHeight="1">
      <c r="A490" s="1" t="str">
        <f>IF(COUNTA(B490:C490)=0,"",482)</f>
        <v/>
      </c>
      <c r="B490" s="8"/>
      <c r="C490" s="9"/>
      <c r="D490" s="10" t="str">
        <f t="shared" si="42"/>
        <v/>
      </c>
      <c r="E490" s="1"/>
      <c r="F490" s="11" t="str">
        <f t="shared" si="43"/>
        <v/>
      </c>
      <c r="G490" s="11" t="str">
        <f t="shared" si="44"/>
        <v/>
      </c>
      <c r="H490" s="11" t="str">
        <f t="shared" si="45"/>
        <v/>
      </c>
      <c r="I490" s="12" t="str">
        <f t="shared" si="46"/>
        <v/>
      </c>
      <c r="J490" s="13" t="str">
        <f t="shared" si="47"/>
        <v/>
      </c>
    </row>
    <row r="491" spans="1:10" ht="23.1" customHeight="1">
      <c r="A491" s="1" t="str">
        <f>IF(COUNTA(B491:C491)=0,"",483)</f>
        <v/>
      </c>
      <c r="B491" s="8"/>
      <c r="C491" s="9"/>
      <c r="D491" s="10" t="str">
        <f t="shared" si="42"/>
        <v/>
      </c>
      <c r="E491" s="1"/>
      <c r="F491" s="11" t="str">
        <f t="shared" si="43"/>
        <v/>
      </c>
      <c r="G491" s="11" t="str">
        <f t="shared" si="44"/>
        <v/>
      </c>
      <c r="H491" s="11" t="str">
        <f t="shared" si="45"/>
        <v/>
      </c>
      <c r="I491" s="12" t="str">
        <f t="shared" si="46"/>
        <v/>
      </c>
      <c r="J491" s="13" t="str">
        <f t="shared" si="47"/>
        <v/>
      </c>
    </row>
    <row r="492" spans="1:10" ht="23.1" customHeight="1">
      <c r="A492" s="1" t="str">
        <f>IF(COUNTA(B492:C492)=0,"",484)</f>
        <v/>
      </c>
      <c r="B492" s="8"/>
      <c r="C492" s="9"/>
      <c r="D492" s="10" t="str">
        <f t="shared" si="42"/>
        <v/>
      </c>
      <c r="E492" s="1"/>
      <c r="F492" s="11" t="str">
        <f t="shared" si="43"/>
        <v/>
      </c>
      <c r="G492" s="11" t="str">
        <f t="shared" si="44"/>
        <v/>
      </c>
      <c r="H492" s="11" t="str">
        <f t="shared" si="45"/>
        <v/>
      </c>
      <c r="I492" s="12" t="str">
        <f t="shared" si="46"/>
        <v/>
      </c>
      <c r="J492" s="13" t="str">
        <f t="shared" si="47"/>
        <v/>
      </c>
    </row>
    <row r="493" spans="1:10" ht="23.1" customHeight="1">
      <c r="A493" s="1" t="str">
        <f>IF(COUNTA(B493:C493)=0,"",485)</f>
        <v/>
      </c>
      <c r="B493" s="8"/>
      <c r="C493" s="9"/>
      <c r="D493" s="10" t="str">
        <f t="shared" si="42"/>
        <v/>
      </c>
      <c r="E493" s="1"/>
      <c r="F493" s="11" t="str">
        <f t="shared" si="43"/>
        <v/>
      </c>
      <c r="G493" s="11" t="str">
        <f t="shared" si="44"/>
        <v/>
      </c>
      <c r="H493" s="11" t="str">
        <f t="shared" si="45"/>
        <v/>
      </c>
      <c r="I493" s="12" t="str">
        <f t="shared" si="46"/>
        <v/>
      </c>
      <c r="J493" s="13" t="str">
        <f t="shared" si="47"/>
        <v/>
      </c>
    </row>
    <row r="494" spans="1:10" ht="23.1" customHeight="1">
      <c r="A494" s="1" t="str">
        <f>IF(COUNTA(B494:C494)=0,"",486)</f>
        <v/>
      </c>
      <c r="B494" s="8"/>
      <c r="C494" s="9"/>
      <c r="D494" s="10" t="str">
        <f t="shared" si="42"/>
        <v/>
      </c>
      <c r="E494" s="1"/>
      <c r="F494" s="11" t="str">
        <f t="shared" si="43"/>
        <v/>
      </c>
      <c r="G494" s="11" t="str">
        <f t="shared" si="44"/>
        <v/>
      </c>
      <c r="H494" s="11" t="str">
        <f t="shared" si="45"/>
        <v/>
      </c>
      <c r="I494" s="12" t="str">
        <f t="shared" si="46"/>
        <v/>
      </c>
      <c r="J494" s="13" t="str">
        <f t="shared" si="47"/>
        <v/>
      </c>
    </row>
    <row r="495" spans="1:10" ht="23.1" customHeight="1">
      <c r="A495" s="1" t="str">
        <f>IF(COUNTA(B495:C495)=0,"",487)</f>
        <v/>
      </c>
      <c r="B495" s="8"/>
      <c r="C495" s="9"/>
      <c r="D495" s="10" t="str">
        <f t="shared" si="42"/>
        <v/>
      </c>
      <c r="E495" s="1"/>
      <c r="F495" s="11" t="str">
        <f t="shared" si="43"/>
        <v/>
      </c>
      <c r="G495" s="11" t="str">
        <f t="shared" si="44"/>
        <v/>
      </c>
      <c r="H495" s="11" t="str">
        <f t="shared" si="45"/>
        <v/>
      </c>
      <c r="I495" s="12" t="str">
        <f t="shared" si="46"/>
        <v/>
      </c>
      <c r="J495" s="13" t="str">
        <f t="shared" si="47"/>
        <v/>
      </c>
    </row>
    <row r="496" spans="1:10" ht="23.1" customHeight="1">
      <c r="A496" s="1" t="str">
        <f>IF(COUNTA(B496:C496)=0,"",488)</f>
        <v/>
      </c>
      <c r="B496" s="8"/>
      <c r="C496" s="9"/>
      <c r="D496" s="10" t="str">
        <f t="shared" si="42"/>
        <v/>
      </c>
      <c r="E496" s="1"/>
      <c r="F496" s="11" t="str">
        <f t="shared" si="43"/>
        <v/>
      </c>
      <c r="G496" s="11" t="str">
        <f t="shared" si="44"/>
        <v/>
      </c>
      <c r="H496" s="11" t="str">
        <f t="shared" si="45"/>
        <v/>
      </c>
      <c r="I496" s="12" t="str">
        <f t="shared" si="46"/>
        <v/>
      </c>
      <c r="J496" s="13" t="str">
        <f t="shared" si="47"/>
        <v/>
      </c>
    </row>
    <row r="497" spans="1:10" ht="23.1" customHeight="1">
      <c r="A497" s="1" t="str">
        <f>IF(COUNTA(B497:C497)=0,"",489)</f>
        <v/>
      </c>
      <c r="B497" s="8"/>
      <c r="C497" s="9"/>
      <c r="D497" s="10" t="str">
        <f t="shared" si="42"/>
        <v/>
      </c>
      <c r="E497" s="1"/>
      <c r="F497" s="11" t="str">
        <f t="shared" si="43"/>
        <v/>
      </c>
      <c r="G497" s="11" t="str">
        <f t="shared" si="44"/>
        <v/>
      </c>
      <c r="H497" s="11" t="str">
        <f t="shared" si="45"/>
        <v/>
      </c>
      <c r="I497" s="12" t="str">
        <f t="shared" si="46"/>
        <v/>
      </c>
      <c r="J497" s="13" t="str">
        <f t="shared" si="47"/>
        <v/>
      </c>
    </row>
    <row r="498" spans="1:10" ht="23.1" customHeight="1">
      <c r="A498" s="1" t="str">
        <f>IF(COUNTA(B498:C498)=0,"",490)</f>
        <v/>
      </c>
      <c r="B498" s="8"/>
      <c r="C498" s="9"/>
      <c r="D498" s="10" t="str">
        <f t="shared" si="42"/>
        <v/>
      </c>
      <c r="E498" s="1"/>
      <c r="F498" s="11" t="str">
        <f t="shared" si="43"/>
        <v/>
      </c>
      <c r="G498" s="11" t="str">
        <f t="shared" si="44"/>
        <v/>
      </c>
      <c r="H498" s="11" t="str">
        <f t="shared" si="45"/>
        <v/>
      </c>
      <c r="I498" s="12" t="str">
        <f t="shared" si="46"/>
        <v/>
      </c>
      <c r="J498" s="13" t="str">
        <f t="shared" si="47"/>
        <v/>
      </c>
    </row>
    <row r="499" spans="1:10" ht="23.1" customHeight="1">
      <c r="A499" s="1" t="str">
        <f>IF(COUNTA(B499:C499)=0,"",491)</f>
        <v/>
      </c>
      <c r="B499" s="8"/>
      <c r="C499" s="9"/>
      <c r="D499" s="10" t="str">
        <f t="shared" si="42"/>
        <v/>
      </c>
      <c r="E499" s="1"/>
      <c r="F499" s="11" t="str">
        <f t="shared" si="43"/>
        <v/>
      </c>
      <c r="G499" s="11" t="str">
        <f t="shared" si="44"/>
        <v/>
      </c>
      <c r="H499" s="11" t="str">
        <f t="shared" si="45"/>
        <v/>
      </c>
      <c r="I499" s="12" t="str">
        <f t="shared" si="46"/>
        <v/>
      </c>
      <c r="J499" s="13" t="str">
        <f t="shared" si="47"/>
        <v/>
      </c>
    </row>
    <row r="500" spans="1:10" ht="23.1" customHeight="1">
      <c r="A500" s="1" t="str">
        <f>IF(COUNTA(B500:C500)=0,"",492)</f>
        <v/>
      </c>
      <c r="B500" s="8"/>
      <c r="C500" s="9"/>
      <c r="D500" s="10" t="str">
        <f t="shared" si="42"/>
        <v/>
      </c>
      <c r="E500" s="1"/>
      <c r="F500" s="11" t="str">
        <f t="shared" si="43"/>
        <v/>
      </c>
      <c r="G500" s="11" t="str">
        <f t="shared" si="44"/>
        <v/>
      </c>
      <c r="H500" s="11" t="str">
        <f t="shared" si="45"/>
        <v/>
      </c>
      <c r="I500" s="12" t="str">
        <f t="shared" si="46"/>
        <v/>
      </c>
      <c r="J500" s="13" t="str">
        <f t="shared" si="47"/>
        <v/>
      </c>
    </row>
    <row r="501" spans="1:10" ht="23.1" customHeight="1">
      <c r="A501" s="1" t="str">
        <f>IF(COUNTA(B501:C501)=0,"",493)</f>
        <v/>
      </c>
      <c r="B501" s="8"/>
      <c r="C501" s="9"/>
      <c r="D501" s="10" t="str">
        <f t="shared" si="42"/>
        <v/>
      </c>
      <c r="E501" s="1"/>
      <c r="F501" s="11" t="str">
        <f t="shared" si="43"/>
        <v/>
      </c>
      <c r="G501" s="11" t="str">
        <f t="shared" si="44"/>
        <v/>
      </c>
      <c r="H501" s="11" t="str">
        <f t="shared" si="45"/>
        <v/>
      </c>
      <c r="I501" s="12" t="str">
        <f t="shared" si="46"/>
        <v/>
      </c>
      <c r="J501" s="13" t="str">
        <f t="shared" si="47"/>
        <v/>
      </c>
    </row>
    <row r="502" spans="1:10" ht="23.1" customHeight="1">
      <c r="A502" s="1" t="str">
        <f>IF(COUNTA(B502:C502)=0,"",494)</f>
        <v/>
      </c>
      <c r="B502" s="8"/>
      <c r="C502" s="9"/>
      <c r="D502" s="10" t="str">
        <f t="shared" si="42"/>
        <v/>
      </c>
      <c r="E502" s="1"/>
      <c r="F502" s="11" t="str">
        <f t="shared" si="43"/>
        <v/>
      </c>
      <c r="G502" s="11" t="str">
        <f t="shared" si="44"/>
        <v/>
      </c>
      <c r="H502" s="11" t="str">
        <f t="shared" si="45"/>
        <v/>
      </c>
      <c r="I502" s="12" t="str">
        <f t="shared" si="46"/>
        <v/>
      </c>
      <c r="J502" s="13" t="str">
        <f t="shared" si="47"/>
        <v/>
      </c>
    </row>
    <row r="503" spans="1:10" ht="23.1" customHeight="1">
      <c r="A503" s="1" t="str">
        <f>IF(COUNTA(B503:C503)=0,"",495)</f>
        <v/>
      </c>
      <c r="B503" s="8"/>
      <c r="C503" s="9"/>
      <c r="D503" s="10" t="str">
        <f t="shared" si="42"/>
        <v/>
      </c>
      <c r="E503" s="1"/>
      <c r="F503" s="11" t="str">
        <f t="shared" si="43"/>
        <v/>
      </c>
      <c r="G503" s="11" t="str">
        <f t="shared" si="44"/>
        <v/>
      </c>
      <c r="H503" s="11" t="str">
        <f t="shared" si="45"/>
        <v/>
      </c>
      <c r="I503" s="12" t="str">
        <f t="shared" si="46"/>
        <v/>
      </c>
      <c r="J503" s="13" t="str">
        <f t="shared" si="47"/>
        <v/>
      </c>
    </row>
    <row r="504" spans="1:10" ht="23.1" customHeight="1">
      <c r="A504" s="1" t="str">
        <f>IF(COUNTA(B504:C504)=0,"",496)</f>
        <v/>
      </c>
      <c r="B504" s="8"/>
      <c r="C504" s="9"/>
      <c r="D504" s="10" t="str">
        <f t="shared" si="42"/>
        <v/>
      </c>
      <c r="E504" s="1"/>
      <c r="F504" s="11" t="str">
        <f t="shared" si="43"/>
        <v/>
      </c>
      <c r="G504" s="11" t="str">
        <f t="shared" si="44"/>
        <v/>
      </c>
      <c r="H504" s="11" t="str">
        <f t="shared" si="45"/>
        <v/>
      </c>
      <c r="I504" s="12" t="str">
        <f t="shared" si="46"/>
        <v/>
      </c>
      <c r="J504" s="13" t="str">
        <f t="shared" si="47"/>
        <v/>
      </c>
    </row>
    <row r="505" spans="1:10" ht="23.1" customHeight="1">
      <c r="A505" s="1" t="str">
        <f>IF(COUNTA(B505:C505)=0,"",497)</f>
        <v/>
      </c>
      <c r="B505" s="8"/>
      <c r="C505" s="9"/>
      <c r="D505" s="10" t="str">
        <f t="shared" si="42"/>
        <v/>
      </c>
      <c r="E505" s="1"/>
      <c r="F505" s="11" t="str">
        <f t="shared" si="43"/>
        <v/>
      </c>
      <c r="G505" s="11" t="str">
        <f t="shared" si="44"/>
        <v/>
      </c>
      <c r="H505" s="11" t="str">
        <f t="shared" si="45"/>
        <v/>
      </c>
      <c r="I505" s="12" t="str">
        <f t="shared" si="46"/>
        <v/>
      </c>
      <c r="J505" s="13" t="str">
        <f t="shared" si="47"/>
        <v/>
      </c>
    </row>
    <row r="506" spans="1:10" ht="23.1" customHeight="1">
      <c r="A506" s="1" t="str">
        <f>IF(COUNTA(B506:C506)=0,"",498)</f>
        <v/>
      </c>
      <c r="B506" s="8"/>
      <c r="C506" s="9"/>
      <c r="D506" s="10" t="str">
        <f t="shared" si="42"/>
        <v/>
      </c>
      <c r="E506" s="1"/>
      <c r="F506" s="11" t="str">
        <f t="shared" si="43"/>
        <v/>
      </c>
      <c r="G506" s="11" t="str">
        <f t="shared" si="44"/>
        <v/>
      </c>
      <c r="H506" s="11" t="str">
        <f t="shared" si="45"/>
        <v/>
      </c>
      <c r="I506" s="12" t="str">
        <f t="shared" si="46"/>
        <v/>
      </c>
      <c r="J506" s="13" t="str">
        <f t="shared" si="47"/>
        <v/>
      </c>
    </row>
    <row r="507" spans="1:10" ht="23.1" customHeight="1">
      <c r="A507" s="1" t="str">
        <f>IF(COUNTA(B507:C507)=0,"",499)</f>
        <v/>
      </c>
      <c r="B507" s="8"/>
      <c r="C507" s="9"/>
      <c r="D507" s="10" t="str">
        <f t="shared" si="42"/>
        <v/>
      </c>
      <c r="E507" s="1"/>
      <c r="F507" s="11" t="str">
        <f t="shared" si="43"/>
        <v/>
      </c>
      <c r="G507" s="11" t="str">
        <f t="shared" si="44"/>
        <v/>
      </c>
      <c r="H507" s="11" t="str">
        <f t="shared" si="45"/>
        <v/>
      </c>
      <c r="I507" s="12" t="str">
        <f t="shared" si="46"/>
        <v/>
      </c>
      <c r="J507" s="13" t="str">
        <f t="shared" si="47"/>
        <v/>
      </c>
    </row>
    <row r="508" spans="1:10" ht="23.1" customHeight="1">
      <c r="A508" s="1" t="str">
        <f>IF(COUNTA(B508:C508)=0,"",500)</f>
        <v/>
      </c>
      <c r="B508" s="8"/>
      <c r="C508" s="9"/>
      <c r="D508" s="10" t="str">
        <f t="shared" si="42"/>
        <v/>
      </c>
      <c r="E508" s="1"/>
      <c r="F508" s="11" t="str">
        <f t="shared" si="43"/>
        <v/>
      </c>
      <c r="G508" s="11" t="str">
        <f t="shared" si="44"/>
        <v/>
      </c>
      <c r="H508" s="11" t="str">
        <f t="shared" si="45"/>
        <v/>
      </c>
      <c r="I508" s="12" t="str">
        <f t="shared" si="46"/>
        <v/>
      </c>
      <c r="J508" s="13" t="str">
        <f t="shared" si="47"/>
        <v/>
      </c>
    </row>
    <row r="509" spans="1:10" ht="23.1" customHeight="1">
      <c r="A509" s="1" t="str">
        <f>IF(COUNTA(B509:C509)=0,"",501)</f>
        <v/>
      </c>
      <c r="B509" s="8"/>
      <c r="C509" s="9"/>
      <c r="D509" s="10" t="str">
        <f t="shared" si="42"/>
        <v/>
      </c>
      <c r="E509" s="1"/>
      <c r="F509" s="11" t="str">
        <f t="shared" si="43"/>
        <v/>
      </c>
      <c r="G509" s="11" t="str">
        <f t="shared" si="44"/>
        <v/>
      </c>
      <c r="H509" s="11" t="str">
        <f t="shared" si="45"/>
        <v/>
      </c>
      <c r="I509" s="12" t="str">
        <f t="shared" si="46"/>
        <v/>
      </c>
      <c r="J509" s="13" t="str">
        <f t="shared" si="47"/>
        <v/>
      </c>
    </row>
    <row r="510" spans="1:10" ht="23.1" customHeight="1">
      <c r="A510" s="1" t="str">
        <f>IF(COUNTA(B510:C510)=0,"",502)</f>
        <v/>
      </c>
      <c r="B510" s="8"/>
      <c r="C510" s="9"/>
      <c r="D510" s="10" t="str">
        <f t="shared" si="42"/>
        <v/>
      </c>
      <c r="E510" s="1"/>
      <c r="F510" s="11" t="str">
        <f t="shared" si="43"/>
        <v/>
      </c>
      <c r="G510" s="11" t="str">
        <f t="shared" si="44"/>
        <v/>
      </c>
      <c r="H510" s="11" t="str">
        <f t="shared" si="45"/>
        <v/>
      </c>
      <c r="I510" s="12" t="str">
        <f t="shared" si="46"/>
        <v/>
      </c>
      <c r="J510" s="13" t="str">
        <f t="shared" si="47"/>
        <v/>
      </c>
    </row>
    <row r="511" spans="1:10" ht="23.1" customHeight="1">
      <c r="A511" s="1" t="str">
        <f>IF(COUNTA(B511:C511)=0,"",503)</f>
        <v/>
      </c>
      <c r="B511" s="8"/>
      <c r="C511" s="9"/>
      <c r="D511" s="10" t="str">
        <f t="shared" si="42"/>
        <v/>
      </c>
      <c r="E511" s="1"/>
      <c r="F511" s="11" t="str">
        <f t="shared" si="43"/>
        <v/>
      </c>
      <c r="G511" s="11" t="str">
        <f t="shared" si="44"/>
        <v/>
      </c>
      <c r="H511" s="11" t="str">
        <f t="shared" si="45"/>
        <v/>
      </c>
      <c r="I511" s="12" t="str">
        <f t="shared" si="46"/>
        <v/>
      </c>
      <c r="J511" s="13" t="str">
        <f t="shared" si="47"/>
        <v/>
      </c>
    </row>
    <row r="512" spans="1:10" ht="23.1" customHeight="1">
      <c r="A512" s="1" t="str">
        <f>IF(COUNTA(B512:C512)=0,"",504)</f>
        <v/>
      </c>
      <c r="B512" s="8"/>
      <c r="C512" s="9"/>
      <c r="D512" s="10" t="str">
        <f t="shared" si="42"/>
        <v/>
      </c>
      <c r="E512" s="1"/>
      <c r="F512" s="11" t="str">
        <f t="shared" si="43"/>
        <v/>
      </c>
      <c r="G512" s="11" t="str">
        <f t="shared" si="44"/>
        <v/>
      </c>
      <c r="H512" s="11" t="str">
        <f t="shared" si="45"/>
        <v/>
      </c>
      <c r="I512" s="12" t="str">
        <f t="shared" si="46"/>
        <v/>
      </c>
      <c r="J512" s="13" t="str">
        <f t="shared" si="47"/>
        <v/>
      </c>
    </row>
    <row r="513" spans="1:10" ht="23.1" customHeight="1">
      <c r="A513" s="1" t="str">
        <f>IF(COUNTA(B513:C513)=0,"",505)</f>
        <v/>
      </c>
      <c r="B513" s="8"/>
      <c r="C513" s="9"/>
      <c r="D513" s="10" t="str">
        <f t="shared" si="42"/>
        <v/>
      </c>
      <c r="E513" s="1"/>
      <c r="F513" s="11" t="str">
        <f t="shared" si="43"/>
        <v/>
      </c>
      <c r="G513" s="11" t="str">
        <f t="shared" si="44"/>
        <v/>
      </c>
      <c r="H513" s="11" t="str">
        <f t="shared" si="45"/>
        <v/>
      </c>
      <c r="I513" s="12" t="str">
        <f t="shared" si="46"/>
        <v/>
      </c>
      <c r="J513" s="13" t="str">
        <f t="shared" si="47"/>
        <v/>
      </c>
    </row>
    <row r="514" spans="1:10" ht="23.1" customHeight="1">
      <c r="A514" s="1" t="str">
        <f>IF(COUNTA(B514:C514)=0,"",506)</f>
        <v/>
      </c>
      <c r="B514" s="8"/>
      <c r="C514" s="9"/>
      <c r="D514" s="10" t="str">
        <f t="shared" si="42"/>
        <v/>
      </c>
      <c r="E514" s="1"/>
      <c r="F514" s="11" t="str">
        <f t="shared" si="43"/>
        <v/>
      </c>
      <c r="G514" s="11" t="str">
        <f t="shared" si="44"/>
        <v/>
      </c>
      <c r="H514" s="11" t="str">
        <f t="shared" si="45"/>
        <v/>
      </c>
      <c r="I514" s="12" t="str">
        <f t="shared" si="46"/>
        <v/>
      </c>
      <c r="J514" s="13" t="str">
        <f t="shared" si="47"/>
        <v/>
      </c>
    </row>
    <row r="515" spans="1:10" ht="23.1" customHeight="1">
      <c r="A515" s="1" t="str">
        <f>IF(COUNTA(B515:C515)=0,"",507)</f>
        <v/>
      </c>
      <c r="B515" s="8"/>
      <c r="C515" s="9"/>
      <c r="D515" s="10" t="str">
        <f t="shared" si="42"/>
        <v/>
      </c>
      <c r="E515" s="1"/>
      <c r="F515" s="11" t="str">
        <f t="shared" si="43"/>
        <v/>
      </c>
      <c r="G515" s="11" t="str">
        <f t="shared" si="44"/>
        <v/>
      </c>
      <c r="H515" s="11" t="str">
        <f t="shared" si="45"/>
        <v/>
      </c>
      <c r="I515" s="12" t="str">
        <f t="shared" si="46"/>
        <v/>
      </c>
      <c r="J515" s="13" t="str">
        <f t="shared" si="47"/>
        <v/>
      </c>
    </row>
    <row r="516" spans="1:10" ht="23.1" customHeight="1">
      <c r="A516" s="1" t="str">
        <f>IF(COUNTA(B516:C516)=0,"",508)</f>
        <v/>
      </c>
      <c r="B516" s="8"/>
      <c r="C516" s="9"/>
      <c r="D516" s="10" t="str">
        <f t="shared" si="42"/>
        <v/>
      </c>
      <c r="E516" s="1"/>
      <c r="F516" s="11" t="str">
        <f t="shared" si="43"/>
        <v/>
      </c>
      <c r="G516" s="11" t="str">
        <f t="shared" si="44"/>
        <v/>
      </c>
      <c r="H516" s="11" t="str">
        <f t="shared" si="45"/>
        <v/>
      </c>
      <c r="I516" s="12" t="str">
        <f t="shared" si="46"/>
        <v/>
      </c>
      <c r="J516" s="13" t="str">
        <f t="shared" si="47"/>
        <v/>
      </c>
    </row>
    <row r="517" spans="1:10" ht="23.1" customHeight="1">
      <c r="A517" s="1" t="str">
        <f>IF(COUNTA(B517:C517)=0,"",509)</f>
        <v/>
      </c>
      <c r="B517" s="8"/>
      <c r="C517" s="9"/>
      <c r="D517" s="10" t="str">
        <f t="shared" si="42"/>
        <v/>
      </c>
      <c r="E517" s="1"/>
      <c r="F517" s="11" t="str">
        <f t="shared" si="43"/>
        <v/>
      </c>
      <c r="G517" s="11" t="str">
        <f t="shared" si="44"/>
        <v/>
      </c>
      <c r="H517" s="11" t="str">
        <f t="shared" si="45"/>
        <v/>
      </c>
      <c r="I517" s="12" t="str">
        <f t="shared" si="46"/>
        <v/>
      </c>
      <c r="J517" s="13" t="str">
        <f t="shared" si="47"/>
        <v/>
      </c>
    </row>
    <row r="518" spans="1:10" ht="23.1" customHeight="1">
      <c r="A518" s="1" t="str">
        <f>IF(COUNTA(B518:C518)=0,"",510)</f>
        <v/>
      </c>
      <c r="B518" s="8"/>
      <c r="C518" s="9"/>
      <c r="D518" s="10" t="str">
        <f t="shared" si="42"/>
        <v/>
      </c>
      <c r="E518" s="1"/>
      <c r="F518" s="11" t="str">
        <f t="shared" si="43"/>
        <v/>
      </c>
      <c r="G518" s="11" t="str">
        <f t="shared" si="44"/>
        <v/>
      </c>
      <c r="H518" s="11" t="str">
        <f t="shared" si="45"/>
        <v/>
      </c>
      <c r="I518" s="12" t="str">
        <f t="shared" si="46"/>
        <v/>
      </c>
      <c r="J518" s="13" t="str">
        <f t="shared" si="47"/>
        <v/>
      </c>
    </row>
    <row r="519" spans="1:10" ht="23.1" customHeight="1">
      <c r="A519" s="1" t="str">
        <f>IF(COUNTA(B519:C519)=0,"",511)</f>
        <v/>
      </c>
      <c r="B519" s="8"/>
      <c r="C519" s="9"/>
      <c r="D519" s="10" t="str">
        <f t="shared" si="42"/>
        <v/>
      </c>
      <c r="E519" s="1"/>
      <c r="F519" s="11" t="str">
        <f t="shared" si="43"/>
        <v/>
      </c>
      <c r="G519" s="11" t="str">
        <f t="shared" si="44"/>
        <v/>
      </c>
      <c r="H519" s="11" t="str">
        <f t="shared" si="45"/>
        <v/>
      </c>
      <c r="I519" s="12" t="str">
        <f t="shared" si="46"/>
        <v/>
      </c>
      <c r="J519" s="13" t="str">
        <f t="shared" si="47"/>
        <v/>
      </c>
    </row>
    <row r="520" spans="1:10" ht="23.1" customHeight="1">
      <c r="A520" s="1" t="str">
        <f>IF(COUNTA(B520:C520)=0,"",512)</f>
        <v/>
      </c>
      <c r="B520" s="8"/>
      <c r="C520" s="9"/>
      <c r="D520" s="10" t="str">
        <f t="shared" si="42"/>
        <v/>
      </c>
      <c r="E520" s="1"/>
      <c r="F520" s="11" t="str">
        <f t="shared" si="43"/>
        <v/>
      </c>
      <c r="G520" s="11" t="str">
        <f t="shared" si="44"/>
        <v/>
      </c>
      <c r="H520" s="11" t="str">
        <f t="shared" si="45"/>
        <v/>
      </c>
      <c r="I520" s="12" t="str">
        <f t="shared" si="46"/>
        <v/>
      </c>
      <c r="J520" s="13" t="str">
        <f t="shared" si="47"/>
        <v/>
      </c>
    </row>
    <row r="521" spans="1:10" ht="23.1" customHeight="1">
      <c r="A521" s="1" t="str">
        <f>IF(COUNTA(B521:C521)=0,"",513)</f>
        <v/>
      </c>
      <c r="B521" s="8"/>
      <c r="C521" s="9"/>
      <c r="D521" s="10" t="str">
        <f t="shared" ref="D521:D584" si="48">IF(NOT(ISNUMBER(C521)),"",ROUND(C521*30%,2))</f>
        <v/>
      </c>
      <c r="E521" s="1"/>
      <c r="F521" s="11" t="str">
        <f t="shared" ref="F521:F584" si="49">IF(NOT(ISNUMBER(C521)),"",ROUND(H521*30%,2))</f>
        <v/>
      </c>
      <c r="G521" s="11" t="str">
        <f t="shared" ref="G521:G584" si="50">IF(NOT(ISNUMBER(C521)),"",ROUND(H521-F521,2))</f>
        <v/>
      </c>
      <c r="H521" s="11" t="str">
        <f t="shared" ref="H521:H584" si="51">IF(NOT(ISNUMBER(C521)),"",ROUND(C521-D521,2))</f>
        <v/>
      </c>
      <c r="I521" s="12" t="str">
        <f t="shared" ref="I521:I584" si="52">IF(NOT(ISNUMBER(C521)),"",ROUND(C521-SUM(D521,F521:G521),2))</f>
        <v/>
      </c>
      <c r="J521" s="13" t="str">
        <f t="shared" ref="J521:J584" si="53">IF(COUNTA(B521:C521)=0,"",IF(B521="","Falta apartamento",IF(NOT(ISNUMBER(C521)),"Falta valor","Completo")))</f>
        <v/>
      </c>
    </row>
    <row r="522" spans="1:10" ht="23.1" customHeight="1">
      <c r="A522" s="1" t="str">
        <f>IF(COUNTA(B522:C522)=0,"",514)</f>
        <v/>
      </c>
      <c r="B522" s="8"/>
      <c r="C522" s="9"/>
      <c r="D522" s="10" t="str">
        <f t="shared" si="48"/>
        <v/>
      </c>
      <c r="E522" s="1"/>
      <c r="F522" s="11" t="str">
        <f t="shared" si="49"/>
        <v/>
      </c>
      <c r="G522" s="11" t="str">
        <f t="shared" si="50"/>
        <v/>
      </c>
      <c r="H522" s="11" t="str">
        <f t="shared" si="51"/>
        <v/>
      </c>
      <c r="I522" s="12" t="str">
        <f t="shared" si="52"/>
        <v/>
      </c>
      <c r="J522" s="13" t="str">
        <f t="shared" si="53"/>
        <v/>
      </c>
    </row>
    <row r="523" spans="1:10" ht="23.1" customHeight="1">
      <c r="A523" s="1" t="str">
        <f>IF(COUNTA(B523:C523)=0,"",515)</f>
        <v/>
      </c>
      <c r="B523" s="8"/>
      <c r="C523" s="9"/>
      <c r="D523" s="10" t="str">
        <f t="shared" si="48"/>
        <v/>
      </c>
      <c r="E523" s="1"/>
      <c r="F523" s="11" t="str">
        <f t="shared" si="49"/>
        <v/>
      </c>
      <c r="G523" s="11" t="str">
        <f t="shared" si="50"/>
        <v/>
      </c>
      <c r="H523" s="11" t="str">
        <f t="shared" si="51"/>
        <v/>
      </c>
      <c r="I523" s="12" t="str">
        <f t="shared" si="52"/>
        <v/>
      </c>
      <c r="J523" s="13" t="str">
        <f t="shared" si="53"/>
        <v/>
      </c>
    </row>
    <row r="524" spans="1:10" ht="23.1" customHeight="1">
      <c r="A524" s="1" t="str">
        <f>IF(COUNTA(B524:C524)=0,"",516)</f>
        <v/>
      </c>
      <c r="B524" s="8"/>
      <c r="C524" s="9"/>
      <c r="D524" s="10" t="str">
        <f t="shared" si="48"/>
        <v/>
      </c>
      <c r="E524" s="1"/>
      <c r="F524" s="11" t="str">
        <f t="shared" si="49"/>
        <v/>
      </c>
      <c r="G524" s="11" t="str">
        <f t="shared" si="50"/>
        <v/>
      </c>
      <c r="H524" s="11" t="str">
        <f t="shared" si="51"/>
        <v/>
      </c>
      <c r="I524" s="12" t="str">
        <f t="shared" si="52"/>
        <v/>
      </c>
      <c r="J524" s="13" t="str">
        <f t="shared" si="53"/>
        <v/>
      </c>
    </row>
    <row r="525" spans="1:10" ht="23.1" customHeight="1">
      <c r="A525" s="1" t="str">
        <f>IF(COUNTA(B525:C525)=0,"",517)</f>
        <v/>
      </c>
      <c r="B525" s="8"/>
      <c r="C525" s="9"/>
      <c r="D525" s="10" t="str">
        <f t="shared" si="48"/>
        <v/>
      </c>
      <c r="E525" s="1"/>
      <c r="F525" s="11" t="str">
        <f t="shared" si="49"/>
        <v/>
      </c>
      <c r="G525" s="11" t="str">
        <f t="shared" si="50"/>
        <v/>
      </c>
      <c r="H525" s="11" t="str">
        <f t="shared" si="51"/>
        <v/>
      </c>
      <c r="I525" s="12" t="str">
        <f t="shared" si="52"/>
        <v/>
      </c>
      <c r="J525" s="13" t="str">
        <f t="shared" si="53"/>
        <v/>
      </c>
    </row>
    <row r="526" spans="1:10" ht="23.1" customHeight="1">
      <c r="A526" s="1" t="str">
        <f>IF(COUNTA(B526:C526)=0,"",518)</f>
        <v/>
      </c>
      <c r="B526" s="8"/>
      <c r="C526" s="9"/>
      <c r="D526" s="10" t="str">
        <f t="shared" si="48"/>
        <v/>
      </c>
      <c r="E526" s="1"/>
      <c r="F526" s="11" t="str">
        <f t="shared" si="49"/>
        <v/>
      </c>
      <c r="G526" s="11" t="str">
        <f t="shared" si="50"/>
        <v/>
      </c>
      <c r="H526" s="11" t="str">
        <f t="shared" si="51"/>
        <v/>
      </c>
      <c r="I526" s="12" t="str">
        <f t="shared" si="52"/>
        <v/>
      </c>
      <c r="J526" s="13" t="str">
        <f t="shared" si="53"/>
        <v/>
      </c>
    </row>
    <row r="527" spans="1:10" ht="23.1" customHeight="1">
      <c r="A527" s="1" t="str">
        <f>IF(COUNTA(B527:C527)=0,"",519)</f>
        <v/>
      </c>
      <c r="B527" s="8"/>
      <c r="C527" s="9"/>
      <c r="D527" s="10" t="str">
        <f t="shared" si="48"/>
        <v/>
      </c>
      <c r="E527" s="1"/>
      <c r="F527" s="11" t="str">
        <f t="shared" si="49"/>
        <v/>
      </c>
      <c r="G527" s="11" t="str">
        <f t="shared" si="50"/>
        <v/>
      </c>
      <c r="H527" s="11" t="str">
        <f t="shared" si="51"/>
        <v/>
      </c>
      <c r="I527" s="12" t="str">
        <f t="shared" si="52"/>
        <v/>
      </c>
      <c r="J527" s="13" t="str">
        <f t="shared" si="53"/>
        <v/>
      </c>
    </row>
    <row r="528" spans="1:10" ht="23.1" customHeight="1">
      <c r="A528" s="1" t="str">
        <f>IF(COUNTA(B528:C528)=0,"",520)</f>
        <v/>
      </c>
      <c r="B528" s="8"/>
      <c r="C528" s="9"/>
      <c r="D528" s="10" t="str">
        <f t="shared" si="48"/>
        <v/>
      </c>
      <c r="E528" s="1"/>
      <c r="F528" s="11" t="str">
        <f t="shared" si="49"/>
        <v/>
      </c>
      <c r="G528" s="11" t="str">
        <f t="shared" si="50"/>
        <v/>
      </c>
      <c r="H528" s="11" t="str">
        <f t="shared" si="51"/>
        <v/>
      </c>
      <c r="I528" s="12" t="str">
        <f t="shared" si="52"/>
        <v/>
      </c>
      <c r="J528" s="13" t="str">
        <f t="shared" si="53"/>
        <v/>
      </c>
    </row>
    <row r="529" spans="1:10" ht="23.1" customHeight="1">
      <c r="A529" s="1" t="str">
        <f>IF(COUNTA(B529:C529)=0,"",521)</f>
        <v/>
      </c>
      <c r="B529" s="8"/>
      <c r="C529" s="9"/>
      <c r="D529" s="10" t="str">
        <f t="shared" si="48"/>
        <v/>
      </c>
      <c r="E529" s="1"/>
      <c r="F529" s="11" t="str">
        <f t="shared" si="49"/>
        <v/>
      </c>
      <c r="G529" s="11" t="str">
        <f t="shared" si="50"/>
        <v/>
      </c>
      <c r="H529" s="11" t="str">
        <f t="shared" si="51"/>
        <v/>
      </c>
      <c r="I529" s="12" t="str">
        <f t="shared" si="52"/>
        <v/>
      </c>
      <c r="J529" s="13" t="str">
        <f t="shared" si="53"/>
        <v/>
      </c>
    </row>
    <row r="530" spans="1:10" ht="23.1" customHeight="1">
      <c r="A530" s="1" t="str">
        <f>IF(COUNTA(B530:C530)=0,"",522)</f>
        <v/>
      </c>
      <c r="B530" s="8"/>
      <c r="C530" s="9"/>
      <c r="D530" s="10" t="str">
        <f t="shared" si="48"/>
        <v/>
      </c>
      <c r="E530" s="1"/>
      <c r="F530" s="11" t="str">
        <f t="shared" si="49"/>
        <v/>
      </c>
      <c r="G530" s="11" t="str">
        <f t="shared" si="50"/>
        <v/>
      </c>
      <c r="H530" s="11" t="str">
        <f t="shared" si="51"/>
        <v/>
      </c>
      <c r="I530" s="12" t="str">
        <f t="shared" si="52"/>
        <v/>
      </c>
      <c r="J530" s="13" t="str">
        <f t="shared" si="53"/>
        <v/>
      </c>
    </row>
    <row r="531" spans="1:10" ht="23.1" customHeight="1">
      <c r="A531" s="1" t="str">
        <f>IF(COUNTA(B531:C531)=0,"",523)</f>
        <v/>
      </c>
      <c r="B531" s="8"/>
      <c r="C531" s="9"/>
      <c r="D531" s="10" t="str">
        <f t="shared" si="48"/>
        <v/>
      </c>
      <c r="E531" s="1"/>
      <c r="F531" s="11" t="str">
        <f t="shared" si="49"/>
        <v/>
      </c>
      <c r="G531" s="11" t="str">
        <f t="shared" si="50"/>
        <v/>
      </c>
      <c r="H531" s="11" t="str">
        <f t="shared" si="51"/>
        <v/>
      </c>
      <c r="I531" s="12" t="str">
        <f t="shared" si="52"/>
        <v/>
      </c>
      <c r="J531" s="13" t="str">
        <f t="shared" si="53"/>
        <v/>
      </c>
    </row>
    <row r="532" spans="1:10" ht="23.1" customHeight="1">
      <c r="A532" s="1" t="str">
        <f>IF(COUNTA(B532:C532)=0,"",524)</f>
        <v/>
      </c>
      <c r="B532" s="8"/>
      <c r="C532" s="9"/>
      <c r="D532" s="10" t="str">
        <f t="shared" si="48"/>
        <v/>
      </c>
      <c r="E532" s="1"/>
      <c r="F532" s="11" t="str">
        <f t="shared" si="49"/>
        <v/>
      </c>
      <c r="G532" s="11" t="str">
        <f t="shared" si="50"/>
        <v/>
      </c>
      <c r="H532" s="11" t="str">
        <f t="shared" si="51"/>
        <v/>
      </c>
      <c r="I532" s="12" t="str">
        <f t="shared" si="52"/>
        <v/>
      </c>
      <c r="J532" s="13" t="str">
        <f t="shared" si="53"/>
        <v/>
      </c>
    </row>
    <row r="533" spans="1:10" ht="23.1" customHeight="1">
      <c r="A533" s="1" t="str">
        <f>IF(COUNTA(B533:C533)=0,"",525)</f>
        <v/>
      </c>
      <c r="B533" s="8"/>
      <c r="C533" s="9"/>
      <c r="D533" s="10" t="str">
        <f t="shared" si="48"/>
        <v/>
      </c>
      <c r="E533" s="1"/>
      <c r="F533" s="11" t="str">
        <f t="shared" si="49"/>
        <v/>
      </c>
      <c r="G533" s="11" t="str">
        <f t="shared" si="50"/>
        <v/>
      </c>
      <c r="H533" s="11" t="str">
        <f t="shared" si="51"/>
        <v/>
      </c>
      <c r="I533" s="12" t="str">
        <f t="shared" si="52"/>
        <v/>
      </c>
      <c r="J533" s="13" t="str">
        <f t="shared" si="53"/>
        <v/>
      </c>
    </row>
    <row r="534" spans="1:10" ht="23.1" customHeight="1">
      <c r="A534" s="1" t="str">
        <f>IF(COUNTA(B534:C534)=0,"",526)</f>
        <v/>
      </c>
      <c r="B534" s="8"/>
      <c r="C534" s="9"/>
      <c r="D534" s="10" t="str">
        <f t="shared" si="48"/>
        <v/>
      </c>
      <c r="E534" s="1"/>
      <c r="F534" s="11" t="str">
        <f t="shared" si="49"/>
        <v/>
      </c>
      <c r="G534" s="11" t="str">
        <f t="shared" si="50"/>
        <v/>
      </c>
      <c r="H534" s="11" t="str">
        <f t="shared" si="51"/>
        <v/>
      </c>
      <c r="I534" s="12" t="str">
        <f t="shared" si="52"/>
        <v/>
      </c>
      <c r="J534" s="13" t="str">
        <f t="shared" si="53"/>
        <v/>
      </c>
    </row>
    <row r="535" spans="1:10" ht="23.1" customHeight="1">
      <c r="A535" s="1" t="str">
        <f>IF(COUNTA(B535:C535)=0,"",527)</f>
        <v/>
      </c>
      <c r="B535" s="8"/>
      <c r="C535" s="9"/>
      <c r="D535" s="10" t="str">
        <f t="shared" si="48"/>
        <v/>
      </c>
      <c r="E535" s="1"/>
      <c r="F535" s="11" t="str">
        <f t="shared" si="49"/>
        <v/>
      </c>
      <c r="G535" s="11" t="str">
        <f t="shared" si="50"/>
        <v/>
      </c>
      <c r="H535" s="11" t="str">
        <f t="shared" si="51"/>
        <v/>
      </c>
      <c r="I535" s="12" t="str">
        <f t="shared" si="52"/>
        <v/>
      </c>
      <c r="J535" s="13" t="str">
        <f t="shared" si="53"/>
        <v/>
      </c>
    </row>
    <row r="536" spans="1:10" ht="23.1" customHeight="1">
      <c r="A536" s="1" t="str">
        <f>IF(COUNTA(B536:C536)=0,"",528)</f>
        <v/>
      </c>
      <c r="B536" s="8"/>
      <c r="C536" s="9"/>
      <c r="D536" s="10" t="str">
        <f t="shared" si="48"/>
        <v/>
      </c>
      <c r="E536" s="1"/>
      <c r="F536" s="11" t="str">
        <f t="shared" si="49"/>
        <v/>
      </c>
      <c r="G536" s="11" t="str">
        <f t="shared" si="50"/>
        <v/>
      </c>
      <c r="H536" s="11" t="str">
        <f t="shared" si="51"/>
        <v/>
      </c>
      <c r="I536" s="12" t="str">
        <f t="shared" si="52"/>
        <v/>
      </c>
      <c r="J536" s="13" t="str">
        <f t="shared" si="53"/>
        <v/>
      </c>
    </row>
    <row r="537" spans="1:10" ht="23.1" customHeight="1">
      <c r="A537" s="1" t="str">
        <f>IF(COUNTA(B537:C537)=0,"",529)</f>
        <v/>
      </c>
      <c r="B537" s="8"/>
      <c r="C537" s="9"/>
      <c r="D537" s="10" t="str">
        <f t="shared" si="48"/>
        <v/>
      </c>
      <c r="E537" s="1"/>
      <c r="F537" s="11" t="str">
        <f t="shared" si="49"/>
        <v/>
      </c>
      <c r="G537" s="11" t="str">
        <f t="shared" si="50"/>
        <v/>
      </c>
      <c r="H537" s="11" t="str">
        <f t="shared" si="51"/>
        <v/>
      </c>
      <c r="I537" s="12" t="str">
        <f t="shared" si="52"/>
        <v/>
      </c>
      <c r="J537" s="13" t="str">
        <f t="shared" si="53"/>
        <v/>
      </c>
    </row>
    <row r="538" spans="1:10" ht="23.1" customHeight="1">
      <c r="A538" s="1" t="str">
        <f>IF(COUNTA(B538:C538)=0,"",530)</f>
        <v/>
      </c>
      <c r="B538" s="8"/>
      <c r="C538" s="9"/>
      <c r="D538" s="10" t="str">
        <f t="shared" si="48"/>
        <v/>
      </c>
      <c r="E538" s="1"/>
      <c r="F538" s="11" t="str">
        <f t="shared" si="49"/>
        <v/>
      </c>
      <c r="G538" s="11" t="str">
        <f t="shared" si="50"/>
        <v/>
      </c>
      <c r="H538" s="11" t="str">
        <f t="shared" si="51"/>
        <v/>
      </c>
      <c r="I538" s="12" t="str">
        <f t="shared" si="52"/>
        <v/>
      </c>
      <c r="J538" s="13" t="str">
        <f t="shared" si="53"/>
        <v/>
      </c>
    </row>
    <row r="539" spans="1:10" ht="23.1" customHeight="1">
      <c r="A539" s="1" t="str">
        <f>IF(COUNTA(B539:C539)=0,"",531)</f>
        <v/>
      </c>
      <c r="B539" s="8"/>
      <c r="C539" s="9"/>
      <c r="D539" s="10" t="str">
        <f t="shared" si="48"/>
        <v/>
      </c>
      <c r="E539" s="1"/>
      <c r="F539" s="11" t="str">
        <f t="shared" si="49"/>
        <v/>
      </c>
      <c r="G539" s="11" t="str">
        <f t="shared" si="50"/>
        <v/>
      </c>
      <c r="H539" s="11" t="str">
        <f t="shared" si="51"/>
        <v/>
      </c>
      <c r="I539" s="12" t="str">
        <f t="shared" si="52"/>
        <v/>
      </c>
      <c r="J539" s="13" t="str">
        <f t="shared" si="53"/>
        <v/>
      </c>
    </row>
    <row r="540" spans="1:10" ht="23.1" customHeight="1">
      <c r="A540" s="1" t="str">
        <f>IF(COUNTA(B540:C540)=0,"",532)</f>
        <v/>
      </c>
      <c r="B540" s="8"/>
      <c r="C540" s="9"/>
      <c r="D540" s="10" t="str">
        <f t="shared" si="48"/>
        <v/>
      </c>
      <c r="E540" s="1"/>
      <c r="F540" s="11" t="str">
        <f t="shared" si="49"/>
        <v/>
      </c>
      <c r="G540" s="11" t="str">
        <f t="shared" si="50"/>
        <v/>
      </c>
      <c r="H540" s="11" t="str">
        <f t="shared" si="51"/>
        <v/>
      </c>
      <c r="I540" s="12" t="str">
        <f t="shared" si="52"/>
        <v/>
      </c>
      <c r="J540" s="13" t="str">
        <f t="shared" si="53"/>
        <v/>
      </c>
    </row>
    <row r="541" spans="1:10" ht="23.1" customHeight="1">
      <c r="A541" s="1" t="str">
        <f>IF(COUNTA(B541:C541)=0,"",533)</f>
        <v/>
      </c>
      <c r="B541" s="8"/>
      <c r="C541" s="9"/>
      <c r="D541" s="10" t="str">
        <f t="shared" si="48"/>
        <v/>
      </c>
      <c r="E541" s="1"/>
      <c r="F541" s="11" t="str">
        <f t="shared" si="49"/>
        <v/>
      </c>
      <c r="G541" s="11" t="str">
        <f t="shared" si="50"/>
        <v/>
      </c>
      <c r="H541" s="11" t="str">
        <f t="shared" si="51"/>
        <v/>
      </c>
      <c r="I541" s="12" t="str">
        <f t="shared" si="52"/>
        <v/>
      </c>
      <c r="J541" s="13" t="str">
        <f t="shared" si="53"/>
        <v/>
      </c>
    </row>
    <row r="542" spans="1:10" ht="23.1" customHeight="1">
      <c r="A542" s="1" t="str">
        <f>IF(COUNTA(B542:C542)=0,"",534)</f>
        <v/>
      </c>
      <c r="B542" s="8"/>
      <c r="C542" s="9"/>
      <c r="D542" s="10" t="str">
        <f t="shared" si="48"/>
        <v/>
      </c>
      <c r="E542" s="1"/>
      <c r="F542" s="11" t="str">
        <f t="shared" si="49"/>
        <v/>
      </c>
      <c r="G542" s="11" t="str">
        <f t="shared" si="50"/>
        <v/>
      </c>
      <c r="H542" s="11" t="str">
        <f t="shared" si="51"/>
        <v/>
      </c>
      <c r="I542" s="12" t="str">
        <f t="shared" si="52"/>
        <v/>
      </c>
      <c r="J542" s="13" t="str">
        <f t="shared" si="53"/>
        <v/>
      </c>
    </row>
    <row r="543" spans="1:10" ht="23.1" customHeight="1">
      <c r="A543" s="1" t="str">
        <f>IF(COUNTA(B543:C543)=0,"",535)</f>
        <v/>
      </c>
      <c r="B543" s="8"/>
      <c r="C543" s="9"/>
      <c r="D543" s="10" t="str">
        <f t="shared" si="48"/>
        <v/>
      </c>
      <c r="E543" s="1"/>
      <c r="F543" s="11" t="str">
        <f t="shared" si="49"/>
        <v/>
      </c>
      <c r="G543" s="11" t="str">
        <f t="shared" si="50"/>
        <v/>
      </c>
      <c r="H543" s="11" t="str">
        <f t="shared" si="51"/>
        <v/>
      </c>
      <c r="I543" s="12" t="str">
        <f t="shared" si="52"/>
        <v/>
      </c>
      <c r="J543" s="13" t="str">
        <f t="shared" si="53"/>
        <v/>
      </c>
    </row>
    <row r="544" spans="1:10" ht="23.1" customHeight="1">
      <c r="A544" s="1" t="str">
        <f>IF(COUNTA(B544:C544)=0,"",536)</f>
        <v/>
      </c>
      <c r="B544" s="8"/>
      <c r="C544" s="9"/>
      <c r="D544" s="10" t="str">
        <f t="shared" si="48"/>
        <v/>
      </c>
      <c r="E544" s="1"/>
      <c r="F544" s="11" t="str">
        <f t="shared" si="49"/>
        <v/>
      </c>
      <c r="G544" s="11" t="str">
        <f t="shared" si="50"/>
        <v/>
      </c>
      <c r="H544" s="11" t="str">
        <f t="shared" si="51"/>
        <v/>
      </c>
      <c r="I544" s="12" t="str">
        <f t="shared" si="52"/>
        <v/>
      </c>
      <c r="J544" s="13" t="str">
        <f t="shared" si="53"/>
        <v/>
      </c>
    </row>
    <row r="545" spans="1:10" ht="23.1" customHeight="1">
      <c r="A545" s="1" t="str">
        <f>IF(COUNTA(B545:C545)=0,"",537)</f>
        <v/>
      </c>
      <c r="B545" s="8"/>
      <c r="C545" s="9"/>
      <c r="D545" s="10" t="str">
        <f t="shared" si="48"/>
        <v/>
      </c>
      <c r="E545" s="1"/>
      <c r="F545" s="11" t="str">
        <f t="shared" si="49"/>
        <v/>
      </c>
      <c r="G545" s="11" t="str">
        <f t="shared" si="50"/>
        <v/>
      </c>
      <c r="H545" s="11" t="str">
        <f t="shared" si="51"/>
        <v/>
      </c>
      <c r="I545" s="12" t="str">
        <f t="shared" si="52"/>
        <v/>
      </c>
      <c r="J545" s="13" t="str">
        <f t="shared" si="53"/>
        <v/>
      </c>
    </row>
    <row r="546" spans="1:10" ht="23.1" customHeight="1">
      <c r="A546" s="1" t="str">
        <f>IF(COUNTA(B546:C546)=0,"",538)</f>
        <v/>
      </c>
      <c r="B546" s="8"/>
      <c r="C546" s="9"/>
      <c r="D546" s="10" t="str">
        <f t="shared" si="48"/>
        <v/>
      </c>
      <c r="E546" s="1"/>
      <c r="F546" s="11" t="str">
        <f t="shared" si="49"/>
        <v/>
      </c>
      <c r="G546" s="11" t="str">
        <f t="shared" si="50"/>
        <v/>
      </c>
      <c r="H546" s="11" t="str">
        <f t="shared" si="51"/>
        <v/>
      </c>
      <c r="I546" s="12" t="str">
        <f t="shared" si="52"/>
        <v/>
      </c>
      <c r="J546" s="13" t="str">
        <f t="shared" si="53"/>
        <v/>
      </c>
    </row>
    <row r="547" spans="1:10" ht="23.1" customHeight="1">
      <c r="A547" s="1" t="str">
        <f>IF(COUNTA(B547:C547)=0,"",539)</f>
        <v/>
      </c>
      <c r="B547" s="8"/>
      <c r="C547" s="9"/>
      <c r="D547" s="10" t="str">
        <f t="shared" si="48"/>
        <v/>
      </c>
      <c r="E547" s="1"/>
      <c r="F547" s="11" t="str">
        <f t="shared" si="49"/>
        <v/>
      </c>
      <c r="G547" s="11" t="str">
        <f t="shared" si="50"/>
        <v/>
      </c>
      <c r="H547" s="11" t="str">
        <f t="shared" si="51"/>
        <v/>
      </c>
      <c r="I547" s="12" t="str">
        <f t="shared" si="52"/>
        <v/>
      </c>
      <c r="J547" s="13" t="str">
        <f t="shared" si="53"/>
        <v/>
      </c>
    </row>
    <row r="548" spans="1:10" ht="23.1" customHeight="1">
      <c r="A548" s="1" t="str">
        <f>IF(COUNTA(B548:C548)=0,"",540)</f>
        <v/>
      </c>
      <c r="B548" s="8"/>
      <c r="C548" s="9"/>
      <c r="D548" s="10" t="str">
        <f t="shared" si="48"/>
        <v/>
      </c>
      <c r="E548" s="1"/>
      <c r="F548" s="11" t="str">
        <f t="shared" si="49"/>
        <v/>
      </c>
      <c r="G548" s="11" t="str">
        <f t="shared" si="50"/>
        <v/>
      </c>
      <c r="H548" s="11" t="str">
        <f t="shared" si="51"/>
        <v/>
      </c>
      <c r="I548" s="12" t="str">
        <f t="shared" si="52"/>
        <v/>
      </c>
      <c r="J548" s="13" t="str">
        <f t="shared" si="53"/>
        <v/>
      </c>
    </row>
    <row r="549" spans="1:10" ht="23.1" customHeight="1">
      <c r="A549" s="1" t="str">
        <f>IF(COUNTA(B549:C549)=0,"",541)</f>
        <v/>
      </c>
      <c r="B549" s="8"/>
      <c r="C549" s="9"/>
      <c r="D549" s="10" t="str">
        <f t="shared" si="48"/>
        <v/>
      </c>
      <c r="E549" s="1"/>
      <c r="F549" s="11" t="str">
        <f t="shared" si="49"/>
        <v/>
      </c>
      <c r="G549" s="11" t="str">
        <f t="shared" si="50"/>
        <v/>
      </c>
      <c r="H549" s="11" t="str">
        <f t="shared" si="51"/>
        <v/>
      </c>
      <c r="I549" s="12" t="str">
        <f t="shared" si="52"/>
        <v/>
      </c>
      <c r="J549" s="13" t="str">
        <f t="shared" si="53"/>
        <v/>
      </c>
    </row>
    <row r="550" spans="1:10" ht="23.1" customHeight="1">
      <c r="A550" s="1" t="str">
        <f>IF(COUNTA(B550:C550)=0,"",542)</f>
        <v/>
      </c>
      <c r="B550" s="8"/>
      <c r="C550" s="9"/>
      <c r="D550" s="10" t="str">
        <f t="shared" si="48"/>
        <v/>
      </c>
      <c r="E550" s="1"/>
      <c r="F550" s="11" t="str">
        <f t="shared" si="49"/>
        <v/>
      </c>
      <c r="G550" s="11" t="str">
        <f t="shared" si="50"/>
        <v/>
      </c>
      <c r="H550" s="11" t="str">
        <f t="shared" si="51"/>
        <v/>
      </c>
      <c r="I550" s="12" t="str">
        <f t="shared" si="52"/>
        <v/>
      </c>
      <c r="J550" s="13" t="str">
        <f t="shared" si="53"/>
        <v/>
      </c>
    </row>
    <row r="551" spans="1:10" ht="23.1" customHeight="1">
      <c r="A551" s="1" t="str">
        <f>IF(COUNTA(B551:C551)=0,"",543)</f>
        <v/>
      </c>
      <c r="B551" s="8"/>
      <c r="C551" s="9"/>
      <c r="D551" s="10" t="str">
        <f t="shared" si="48"/>
        <v/>
      </c>
      <c r="E551" s="1"/>
      <c r="F551" s="11" t="str">
        <f t="shared" si="49"/>
        <v/>
      </c>
      <c r="G551" s="11" t="str">
        <f t="shared" si="50"/>
        <v/>
      </c>
      <c r="H551" s="11" t="str">
        <f t="shared" si="51"/>
        <v/>
      </c>
      <c r="I551" s="12" t="str">
        <f t="shared" si="52"/>
        <v/>
      </c>
      <c r="J551" s="13" t="str">
        <f t="shared" si="53"/>
        <v/>
      </c>
    </row>
    <row r="552" spans="1:10" ht="23.1" customHeight="1">
      <c r="A552" s="1" t="str">
        <f>IF(COUNTA(B552:C552)=0,"",544)</f>
        <v/>
      </c>
      <c r="B552" s="8"/>
      <c r="C552" s="9"/>
      <c r="D552" s="10" t="str">
        <f t="shared" si="48"/>
        <v/>
      </c>
      <c r="E552" s="1"/>
      <c r="F552" s="11" t="str">
        <f t="shared" si="49"/>
        <v/>
      </c>
      <c r="G552" s="11" t="str">
        <f t="shared" si="50"/>
        <v/>
      </c>
      <c r="H552" s="11" t="str">
        <f t="shared" si="51"/>
        <v/>
      </c>
      <c r="I552" s="12" t="str">
        <f t="shared" si="52"/>
        <v/>
      </c>
      <c r="J552" s="13" t="str">
        <f t="shared" si="53"/>
        <v/>
      </c>
    </row>
    <row r="553" spans="1:10" ht="23.1" customHeight="1">
      <c r="A553" s="1" t="str">
        <f>IF(COUNTA(B553:C553)=0,"",545)</f>
        <v/>
      </c>
      <c r="B553" s="8"/>
      <c r="C553" s="9"/>
      <c r="D553" s="10" t="str">
        <f t="shared" si="48"/>
        <v/>
      </c>
      <c r="E553" s="1"/>
      <c r="F553" s="11" t="str">
        <f t="shared" si="49"/>
        <v/>
      </c>
      <c r="G553" s="11" t="str">
        <f t="shared" si="50"/>
        <v/>
      </c>
      <c r="H553" s="11" t="str">
        <f t="shared" si="51"/>
        <v/>
      </c>
      <c r="I553" s="12" t="str">
        <f t="shared" si="52"/>
        <v/>
      </c>
      <c r="J553" s="13" t="str">
        <f t="shared" si="53"/>
        <v/>
      </c>
    </row>
    <row r="554" spans="1:10" ht="23.1" customHeight="1">
      <c r="A554" s="1" t="str">
        <f>IF(COUNTA(B554:C554)=0,"",546)</f>
        <v/>
      </c>
      <c r="B554" s="8"/>
      <c r="C554" s="9"/>
      <c r="D554" s="10" t="str">
        <f t="shared" si="48"/>
        <v/>
      </c>
      <c r="E554" s="1"/>
      <c r="F554" s="11" t="str">
        <f t="shared" si="49"/>
        <v/>
      </c>
      <c r="G554" s="11" t="str">
        <f t="shared" si="50"/>
        <v/>
      </c>
      <c r="H554" s="11" t="str">
        <f t="shared" si="51"/>
        <v/>
      </c>
      <c r="I554" s="12" t="str">
        <f t="shared" si="52"/>
        <v/>
      </c>
      <c r="J554" s="13" t="str">
        <f t="shared" si="53"/>
        <v/>
      </c>
    </row>
    <row r="555" spans="1:10" ht="23.1" customHeight="1">
      <c r="A555" s="1" t="str">
        <f>IF(COUNTA(B555:C555)=0,"",547)</f>
        <v/>
      </c>
      <c r="B555" s="8"/>
      <c r="C555" s="9"/>
      <c r="D555" s="10" t="str">
        <f t="shared" si="48"/>
        <v/>
      </c>
      <c r="E555" s="1"/>
      <c r="F555" s="11" t="str">
        <f t="shared" si="49"/>
        <v/>
      </c>
      <c r="G555" s="11" t="str">
        <f t="shared" si="50"/>
        <v/>
      </c>
      <c r="H555" s="11" t="str">
        <f t="shared" si="51"/>
        <v/>
      </c>
      <c r="I555" s="12" t="str">
        <f t="shared" si="52"/>
        <v/>
      </c>
      <c r="J555" s="13" t="str">
        <f t="shared" si="53"/>
        <v/>
      </c>
    </row>
    <row r="556" spans="1:10" ht="23.1" customHeight="1">
      <c r="A556" s="1" t="str">
        <f>IF(COUNTA(B556:C556)=0,"",548)</f>
        <v/>
      </c>
      <c r="B556" s="8"/>
      <c r="C556" s="9"/>
      <c r="D556" s="10" t="str">
        <f t="shared" si="48"/>
        <v/>
      </c>
      <c r="E556" s="1"/>
      <c r="F556" s="11" t="str">
        <f t="shared" si="49"/>
        <v/>
      </c>
      <c r="G556" s="11" t="str">
        <f t="shared" si="50"/>
        <v/>
      </c>
      <c r="H556" s="11" t="str">
        <f t="shared" si="51"/>
        <v/>
      </c>
      <c r="I556" s="12" t="str">
        <f t="shared" si="52"/>
        <v/>
      </c>
      <c r="J556" s="13" t="str">
        <f t="shared" si="53"/>
        <v/>
      </c>
    </row>
    <row r="557" spans="1:10" ht="23.1" customHeight="1">
      <c r="A557" s="1" t="str">
        <f>IF(COUNTA(B557:C557)=0,"",549)</f>
        <v/>
      </c>
      <c r="B557" s="8"/>
      <c r="C557" s="9"/>
      <c r="D557" s="10" t="str">
        <f t="shared" si="48"/>
        <v/>
      </c>
      <c r="E557" s="1"/>
      <c r="F557" s="11" t="str">
        <f t="shared" si="49"/>
        <v/>
      </c>
      <c r="G557" s="11" t="str">
        <f t="shared" si="50"/>
        <v/>
      </c>
      <c r="H557" s="11" t="str">
        <f t="shared" si="51"/>
        <v/>
      </c>
      <c r="I557" s="12" t="str">
        <f t="shared" si="52"/>
        <v/>
      </c>
      <c r="J557" s="13" t="str">
        <f t="shared" si="53"/>
        <v/>
      </c>
    </row>
    <row r="558" spans="1:10" ht="23.1" customHeight="1">
      <c r="A558" s="1" t="str">
        <f>IF(COUNTA(B558:C558)=0,"",550)</f>
        <v/>
      </c>
      <c r="B558" s="8"/>
      <c r="C558" s="9"/>
      <c r="D558" s="10" t="str">
        <f t="shared" si="48"/>
        <v/>
      </c>
      <c r="E558" s="1"/>
      <c r="F558" s="11" t="str">
        <f t="shared" si="49"/>
        <v/>
      </c>
      <c r="G558" s="11" t="str">
        <f t="shared" si="50"/>
        <v/>
      </c>
      <c r="H558" s="11" t="str">
        <f t="shared" si="51"/>
        <v/>
      </c>
      <c r="I558" s="12" t="str">
        <f t="shared" si="52"/>
        <v/>
      </c>
      <c r="J558" s="13" t="str">
        <f t="shared" si="53"/>
        <v/>
      </c>
    </row>
    <row r="559" spans="1:10" ht="23.1" customHeight="1">
      <c r="A559" s="1" t="str">
        <f>IF(COUNTA(B559:C559)=0,"",551)</f>
        <v/>
      </c>
      <c r="B559" s="8"/>
      <c r="C559" s="9"/>
      <c r="D559" s="10" t="str">
        <f t="shared" si="48"/>
        <v/>
      </c>
      <c r="E559" s="1"/>
      <c r="F559" s="11" t="str">
        <f t="shared" si="49"/>
        <v/>
      </c>
      <c r="G559" s="11" t="str">
        <f t="shared" si="50"/>
        <v/>
      </c>
      <c r="H559" s="11" t="str">
        <f t="shared" si="51"/>
        <v/>
      </c>
      <c r="I559" s="12" t="str">
        <f t="shared" si="52"/>
        <v/>
      </c>
      <c r="J559" s="13" t="str">
        <f t="shared" si="53"/>
        <v/>
      </c>
    </row>
    <row r="560" spans="1:10" ht="23.1" customHeight="1">
      <c r="A560" s="1" t="str">
        <f>IF(COUNTA(B560:C560)=0,"",552)</f>
        <v/>
      </c>
      <c r="B560" s="8"/>
      <c r="C560" s="9"/>
      <c r="D560" s="10" t="str">
        <f t="shared" si="48"/>
        <v/>
      </c>
      <c r="E560" s="1"/>
      <c r="F560" s="11" t="str">
        <f t="shared" si="49"/>
        <v/>
      </c>
      <c r="G560" s="11" t="str">
        <f t="shared" si="50"/>
        <v/>
      </c>
      <c r="H560" s="11" t="str">
        <f t="shared" si="51"/>
        <v/>
      </c>
      <c r="I560" s="12" t="str">
        <f t="shared" si="52"/>
        <v/>
      </c>
      <c r="J560" s="13" t="str">
        <f t="shared" si="53"/>
        <v/>
      </c>
    </row>
    <row r="561" spans="1:10" ht="23.1" customHeight="1">
      <c r="A561" s="1" t="str">
        <f>IF(COUNTA(B561:C561)=0,"",553)</f>
        <v/>
      </c>
      <c r="B561" s="8"/>
      <c r="C561" s="9"/>
      <c r="D561" s="10" t="str">
        <f t="shared" si="48"/>
        <v/>
      </c>
      <c r="E561" s="1"/>
      <c r="F561" s="11" t="str">
        <f t="shared" si="49"/>
        <v/>
      </c>
      <c r="G561" s="11" t="str">
        <f t="shared" si="50"/>
        <v/>
      </c>
      <c r="H561" s="11" t="str">
        <f t="shared" si="51"/>
        <v/>
      </c>
      <c r="I561" s="12" t="str">
        <f t="shared" si="52"/>
        <v/>
      </c>
      <c r="J561" s="13" t="str">
        <f t="shared" si="53"/>
        <v/>
      </c>
    </row>
    <row r="562" spans="1:10" ht="23.1" customHeight="1">
      <c r="A562" s="1" t="str">
        <f>IF(COUNTA(B562:C562)=0,"",554)</f>
        <v/>
      </c>
      <c r="B562" s="8"/>
      <c r="C562" s="9"/>
      <c r="D562" s="10" t="str">
        <f t="shared" si="48"/>
        <v/>
      </c>
      <c r="E562" s="1"/>
      <c r="F562" s="11" t="str">
        <f t="shared" si="49"/>
        <v/>
      </c>
      <c r="G562" s="11" t="str">
        <f t="shared" si="50"/>
        <v/>
      </c>
      <c r="H562" s="11" t="str">
        <f t="shared" si="51"/>
        <v/>
      </c>
      <c r="I562" s="12" t="str">
        <f t="shared" si="52"/>
        <v/>
      </c>
      <c r="J562" s="13" t="str">
        <f t="shared" si="53"/>
        <v/>
      </c>
    </row>
    <row r="563" spans="1:10" ht="23.1" customHeight="1">
      <c r="A563" s="1" t="str">
        <f>IF(COUNTA(B563:C563)=0,"",555)</f>
        <v/>
      </c>
      <c r="B563" s="8"/>
      <c r="C563" s="9"/>
      <c r="D563" s="10" t="str">
        <f t="shared" si="48"/>
        <v/>
      </c>
      <c r="E563" s="1"/>
      <c r="F563" s="11" t="str">
        <f t="shared" si="49"/>
        <v/>
      </c>
      <c r="G563" s="11" t="str">
        <f t="shared" si="50"/>
        <v/>
      </c>
      <c r="H563" s="11" t="str">
        <f t="shared" si="51"/>
        <v/>
      </c>
      <c r="I563" s="12" t="str">
        <f t="shared" si="52"/>
        <v/>
      </c>
      <c r="J563" s="13" t="str">
        <f t="shared" si="53"/>
        <v/>
      </c>
    </row>
    <row r="564" spans="1:10" ht="23.1" customHeight="1">
      <c r="A564" s="1" t="str">
        <f>IF(COUNTA(B564:C564)=0,"",556)</f>
        <v/>
      </c>
      <c r="B564" s="8"/>
      <c r="C564" s="9"/>
      <c r="D564" s="10" t="str">
        <f t="shared" si="48"/>
        <v/>
      </c>
      <c r="E564" s="1"/>
      <c r="F564" s="11" t="str">
        <f t="shared" si="49"/>
        <v/>
      </c>
      <c r="G564" s="11" t="str">
        <f t="shared" si="50"/>
        <v/>
      </c>
      <c r="H564" s="11" t="str">
        <f t="shared" si="51"/>
        <v/>
      </c>
      <c r="I564" s="12" t="str">
        <f t="shared" si="52"/>
        <v/>
      </c>
      <c r="J564" s="13" t="str">
        <f t="shared" si="53"/>
        <v/>
      </c>
    </row>
    <row r="565" spans="1:10" ht="23.1" customHeight="1">
      <c r="A565" s="1" t="str">
        <f>IF(COUNTA(B565:C565)=0,"",557)</f>
        <v/>
      </c>
      <c r="B565" s="8"/>
      <c r="C565" s="9"/>
      <c r="D565" s="10" t="str">
        <f t="shared" si="48"/>
        <v/>
      </c>
      <c r="E565" s="1"/>
      <c r="F565" s="11" t="str">
        <f t="shared" si="49"/>
        <v/>
      </c>
      <c r="G565" s="11" t="str">
        <f t="shared" si="50"/>
        <v/>
      </c>
      <c r="H565" s="11" t="str">
        <f t="shared" si="51"/>
        <v/>
      </c>
      <c r="I565" s="12" t="str">
        <f t="shared" si="52"/>
        <v/>
      </c>
      <c r="J565" s="13" t="str">
        <f t="shared" si="53"/>
        <v/>
      </c>
    </row>
    <row r="566" spans="1:10" ht="23.1" customHeight="1">
      <c r="A566" s="1" t="str">
        <f>IF(COUNTA(B566:C566)=0,"",558)</f>
        <v/>
      </c>
      <c r="B566" s="8"/>
      <c r="C566" s="9"/>
      <c r="D566" s="10" t="str">
        <f t="shared" si="48"/>
        <v/>
      </c>
      <c r="E566" s="1"/>
      <c r="F566" s="11" t="str">
        <f t="shared" si="49"/>
        <v/>
      </c>
      <c r="G566" s="11" t="str">
        <f t="shared" si="50"/>
        <v/>
      </c>
      <c r="H566" s="11" t="str">
        <f t="shared" si="51"/>
        <v/>
      </c>
      <c r="I566" s="12" t="str">
        <f t="shared" si="52"/>
        <v/>
      </c>
      <c r="J566" s="13" t="str">
        <f t="shared" si="53"/>
        <v/>
      </c>
    </row>
    <row r="567" spans="1:10" ht="23.1" customHeight="1">
      <c r="A567" s="1" t="str">
        <f>IF(COUNTA(B567:C567)=0,"",559)</f>
        <v/>
      </c>
      <c r="B567" s="8"/>
      <c r="C567" s="9"/>
      <c r="D567" s="10" t="str">
        <f t="shared" si="48"/>
        <v/>
      </c>
      <c r="E567" s="1"/>
      <c r="F567" s="11" t="str">
        <f t="shared" si="49"/>
        <v/>
      </c>
      <c r="G567" s="11" t="str">
        <f t="shared" si="50"/>
        <v/>
      </c>
      <c r="H567" s="11" t="str">
        <f t="shared" si="51"/>
        <v/>
      </c>
      <c r="I567" s="12" t="str">
        <f t="shared" si="52"/>
        <v/>
      </c>
      <c r="J567" s="13" t="str">
        <f t="shared" si="53"/>
        <v/>
      </c>
    </row>
    <row r="568" spans="1:10" ht="23.1" customHeight="1">
      <c r="A568" s="1" t="str">
        <f>IF(COUNTA(B568:C568)=0,"",560)</f>
        <v/>
      </c>
      <c r="B568" s="8"/>
      <c r="C568" s="9"/>
      <c r="D568" s="10" t="str">
        <f t="shared" si="48"/>
        <v/>
      </c>
      <c r="E568" s="1"/>
      <c r="F568" s="11" t="str">
        <f t="shared" si="49"/>
        <v/>
      </c>
      <c r="G568" s="11" t="str">
        <f t="shared" si="50"/>
        <v/>
      </c>
      <c r="H568" s="11" t="str">
        <f t="shared" si="51"/>
        <v/>
      </c>
      <c r="I568" s="12" t="str">
        <f t="shared" si="52"/>
        <v/>
      </c>
      <c r="J568" s="13" t="str">
        <f t="shared" si="53"/>
        <v/>
      </c>
    </row>
    <row r="569" spans="1:10" ht="23.1" customHeight="1">
      <c r="A569" s="1" t="str">
        <f>IF(COUNTA(B569:C569)=0,"",561)</f>
        <v/>
      </c>
      <c r="B569" s="8"/>
      <c r="C569" s="9"/>
      <c r="D569" s="10" t="str">
        <f t="shared" si="48"/>
        <v/>
      </c>
      <c r="E569" s="1"/>
      <c r="F569" s="11" t="str">
        <f t="shared" si="49"/>
        <v/>
      </c>
      <c r="G569" s="11" t="str">
        <f t="shared" si="50"/>
        <v/>
      </c>
      <c r="H569" s="11" t="str">
        <f t="shared" si="51"/>
        <v/>
      </c>
      <c r="I569" s="12" t="str">
        <f t="shared" si="52"/>
        <v/>
      </c>
      <c r="J569" s="13" t="str">
        <f t="shared" si="53"/>
        <v/>
      </c>
    </row>
    <row r="570" spans="1:10" ht="23.1" customHeight="1">
      <c r="A570" s="1" t="str">
        <f>IF(COUNTA(B570:C570)=0,"",562)</f>
        <v/>
      </c>
      <c r="B570" s="8"/>
      <c r="C570" s="9"/>
      <c r="D570" s="10" t="str">
        <f t="shared" si="48"/>
        <v/>
      </c>
      <c r="E570" s="1"/>
      <c r="F570" s="11" t="str">
        <f t="shared" si="49"/>
        <v/>
      </c>
      <c r="G570" s="11" t="str">
        <f t="shared" si="50"/>
        <v/>
      </c>
      <c r="H570" s="11" t="str">
        <f t="shared" si="51"/>
        <v/>
      </c>
      <c r="I570" s="12" t="str">
        <f t="shared" si="52"/>
        <v/>
      </c>
      <c r="J570" s="13" t="str">
        <f t="shared" si="53"/>
        <v/>
      </c>
    </row>
    <row r="571" spans="1:10" ht="23.1" customHeight="1">
      <c r="A571" s="1" t="str">
        <f>IF(COUNTA(B571:C571)=0,"",563)</f>
        <v/>
      </c>
      <c r="B571" s="8"/>
      <c r="C571" s="9"/>
      <c r="D571" s="10" t="str">
        <f t="shared" si="48"/>
        <v/>
      </c>
      <c r="E571" s="1"/>
      <c r="F571" s="11" t="str">
        <f t="shared" si="49"/>
        <v/>
      </c>
      <c r="G571" s="11" t="str">
        <f t="shared" si="50"/>
        <v/>
      </c>
      <c r="H571" s="11" t="str">
        <f t="shared" si="51"/>
        <v/>
      </c>
      <c r="I571" s="12" t="str">
        <f t="shared" si="52"/>
        <v/>
      </c>
      <c r="J571" s="13" t="str">
        <f t="shared" si="53"/>
        <v/>
      </c>
    </row>
    <row r="572" spans="1:10" ht="23.1" customHeight="1">
      <c r="A572" s="1" t="str">
        <f>IF(COUNTA(B572:C572)=0,"",564)</f>
        <v/>
      </c>
      <c r="B572" s="8"/>
      <c r="C572" s="9"/>
      <c r="D572" s="10" t="str">
        <f t="shared" si="48"/>
        <v/>
      </c>
      <c r="E572" s="1"/>
      <c r="F572" s="11" t="str">
        <f t="shared" si="49"/>
        <v/>
      </c>
      <c r="G572" s="11" t="str">
        <f t="shared" si="50"/>
        <v/>
      </c>
      <c r="H572" s="11" t="str">
        <f t="shared" si="51"/>
        <v/>
      </c>
      <c r="I572" s="12" t="str">
        <f t="shared" si="52"/>
        <v/>
      </c>
      <c r="J572" s="13" t="str">
        <f t="shared" si="53"/>
        <v/>
      </c>
    </row>
    <row r="573" spans="1:10" ht="23.1" customHeight="1">
      <c r="A573" s="1" t="str">
        <f>IF(COUNTA(B573:C573)=0,"",565)</f>
        <v/>
      </c>
      <c r="B573" s="8"/>
      <c r="C573" s="9"/>
      <c r="D573" s="10" t="str">
        <f t="shared" si="48"/>
        <v/>
      </c>
      <c r="E573" s="1"/>
      <c r="F573" s="11" t="str">
        <f t="shared" si="49"/>
        <v/>
      </c>
      <c r="G573" s="11" t="str">
        <f t="shared" si="50"/>
        <v/>
      </c>
      <c r="H573" s="11" t="str">
        <f t="shared" si="51"/>
        <v/>
      </c>
      <c r="I573" s="12" t="str">
        <f t="shared" si="52"/>
        <v/>
      </c>
      <c r="J573" s="13" t="str">
        <f t="shared" si="53"/>
        <v/>
      </c>
    </row>
    <row r="574" spans="1:10" ht="23.1" customHeight="1">
      <c r="A574" s="1" t="str">
        <f>IF(COUNTA(B574:C574)=0,"",566)</f>
        <v/>
      </c>
      <c r="B574" s="8"/>
      <c r="C574" s="9"/>
      <c r="D574" s="10" t="str">
        <f t="shared" si="48"/>
        <v/>
      </c>
      <c r="E574" s="1"/>
      <c r="F574" s="11" t="str">
        <f t="shared" si="49"/>
        <v/>
      </c>
      <c r="G574" s="11" t="str">
        <f t="shared" si="50"/>
        <v/>
      </c>
      <c r="H574" s="11" t="str">
        <f t="shared" si="51"/>
        <v/>
      </c>
      <c r="I574" s="12" t="str">
        <f t="shared" si="52"/>
        <v/>
      </c>
      <c r="J574" s="13" t="str">
        <f t="shared" si="53"/>
        <v/>
      </c>
    </row>
    <row r="575" spans="1:10" ht="23.1" customHeight="1">
      <c r="A575" s="1" t="str">
        <f>IF(COUNTA(B575:C575)=0,"",567)</f>
        <v/>
      </c>
      <c r="B575" s="8"/>
      <c r="C575" s="9"/>
      <c r="D575" s="10" t="str">
        <f t="shared" si="48"/>
        <v/>
      </c>
      <c r="E575" s="1"/>
      <c r="F575" s="11" t="str">
        <f t="shared" si="49"/>
        <v/>
      </c>
      <c r="G575" s="11" t="str">
        <f t="shared" si="50"/>
        <v/>
      </c>
      <c r="H575" s="11" t="str">
        <f t="shared" si="51"/>
        <v/>
      </c>
      <c r="I575" s="12" t="str">
        <f t="shared" si="52"/>
        <v/>
      </c>
      <c r="J575" s="13" t="str">
        <f t="shared" si="53"/>
        <v/>
      </c>
    </row>
    <row r="576" spans="1:10" ht="23.1" customHeight="1">
      <c r="A576" s="1" t="str">
        <f>IF(COUNTA(B576:C576)=0,"",568)</f>
        <v/>
      </c>
      <c r="B576" s="8"/>
      <c r="C576" s="9"/>
      <c r="D576" s="10" t="str">
        <f t="shared" si="48"/>
        <v/>
      </c>
      <c r="E576" s="1"/>
      <c r="F576" s="11" t="str">
        <f t="shared" si="49"/>
        <v/>
      </c>
      <c r="G576" s="11" t="str">
        <f t="shared" si="50"/>
        <v/>
      </c>
      <c r="H576" s="11" t="str">
        <f t="shared" si="51"/>
        <v/>
      </c>
      <c r="I576" s="12" t="str">
        <f t="shared" si="52"/>
        <v/>
      </c>
      <c r="J576" s="13" t="str">
        <f t="shared" si="53"/>
        <v/>
      </c>
    </row>
    <row r="577" spans="1:10" ht="23.1" customHeight="1">
      <c r="A577" s="1" t="str">
        <f>IF(COUNTA(B577:C577)=0,"",569)</f>
        <v/>
      </c>
      <c r="B577" s="8"/>
      <c r="C577" s="9"/>
      <c r="D577" s="10" t="str">
        <f t="shared" si="48"/>
        <v/>
      </c>
      <c r="E577" s="1"/>
      <c r="F577" s="11" t="str">
        <f t="shared" si="49"/>
        <v/>
      </c>
      <c r="G577" s="11" t="str">
        <f t="shared" si="50"/>
        <v/>
      </c>
      <c r="H577" s="11" t="str">
        <f t="shared" si="51"/>
        <v/>
      </c>
      <c r="I577" s="12" t="str">
        <f t="shared" si="52"/>
        <v/>
      </c>
      <c r="J577" s="13" t="str">
        <f t="shared" si="53"/>
        <v/>
      </c>
    </row>
    <row r="578" spans="1:10" ht="23.1" customHeight="1">
      <c r="A578" s="1" t="str">
        <f>IF(COUNTA(B578:C578)=0,"",570)</f>
        <v/>
      </c>
      <c r="B578" s="8"/>
      <c r="C578" s="9"/>
      <c r="D578" s="10" t="str">
        <f t="shared" si="48"/>
        <v/>
      </c>
      <c r="E578" s="1"/>
      <c r="F578" s="11" t="str">
        <f t="shared" si="49"/>
        <v/>
      </c>
      <c r="G578" s="11" t="str">
        <f t="shared" si="50"/>
        <v/>
      </c>
      <c r="H578" s="11" t="str">
        <f t="shared" si="51"/>
        <v/>
      </c>
      <c r="I578" s="12" t="str">
        <f t="shared" si="52"/>
        <v/>
      </c>
      <c r="J578" s="13" t="str">
        <f t="shared" si="53"/>
        <v/>
      </c>
    </row>
    <row r="579" spans="1:10" ht="23.1" customHeight="1">
      <c r="A579" s="1" t="str">
        <f>IF(COUNTA(B579:C579)=0,"",571)</f>
        <v/>
      </c>
      <c r="B579" s="8"/>
      <c r="C579" s="9"/>
      <c r="D579" s="10" t="str">
        <f t="shared" si="48"/>
        <v/>
      </c>
      <c r="E579" s="1"/>
      <c r="F579" s="11" t="str">
        <f t="shared" si="49"/>
        <v/>
      </c>
      <c r="G579" s="11" t="str">
        <f t="shared" si="50"/>
        <v/>
      </c>
      <c r="H579" s="11" t="str">
        <f t="shared" si="51"/>
        <v/>
      </c>
      <c r="I579" s="12" t="str">
        <f t="shared" si="52"/>
        <v/>
      </c>
      <c r="J579" s="13" t="str">
        <f t="shared" si="53"/>
        <v/>
      </c>
    </row>
    <row r="580" spans="1:10" ht="23.1" customHeight="1">
      <c r="A580" s="1" t="str">
        <f>IF(COUNTA(B580:C580)=0,"",572)</f>
        <v/>
      </c>
      <c r="B580" s="8"/>
      <c r="C580" s="9"/>
      <c r="D580" s="10" t="str">
        <f t="shared" si="48"/>
        <v/>
      </c>
      <c r="E580" s="1"/>
      <c r="F580" s="11" t="str">
        <f t="shared" si="49"/>
        <v/>
      </c>
      <c r="G580" s="11" t="str">
        <f t="shared" si="50"/>
        <v/>
      </c>
      <c r="H580" s="11" t="str">
        <f t="shared" si="51"/>
        <v/>
      </c>
      <c r="I580" s="12" t="str">
        <f t="shared" si="52"/>
        <v/>
      </c>
      <c r="J580" s="13" t="str">
        <f t="shared" si="53"/>
        <v/>
      </c>
    </row>
    <row r="581" spans="1:10" ht="23.1" customHeight="1">
      <c r="A581" s="1" t="str">
        <f>IF(COUNTA(B581:C581)=0,"",573)</f>
        <v/>
      </c>
      <c r="B581" s="8"/>
      <c r="C581" s="9"/>
      <c r="D581" s="10" t="str">
        <f t="shared" si="48"/>
        <v/>
      </c>
      <c r="E581" s="1"/>
      <c r="F581" s="11" t="str">
        <f t="shared" si="49"/>
        <v/>
      </c>
      <c r="G581" s="11" t="str">
        <f t="shared" si="50"/>
        <v/>
      </c>
      <c r="H581" s="11" t="str">
        <f t="shared" si="51"/>
        <v/>
      </c>
      <c r="I581" s="12" t="str">
        <f t="shared" si="52"/>
        <v/>
      </c>
      <c r="J581" s="13" t="str">
        <f t="shared" si="53"/>
        <v/>
      </c>
    </row>
    <row r="582" spans="1:10" ht="23.1" customHeight="1">
      <c r="A582" s="1" t="str">
        <f>IF(COUNTA(B582:C582)=0,"",574)</f>
        <v/>
      </c>
      <c r="B582" s="8"/>
      <c r="C582" s="9"/>
      <c r="D582" s="10" t="str">
        <f t="shared" si="48"/>
        <v/>
      </c>
      <c r="E582" s="1"/>
      <c r="F582" s="11" t="str">
        <f t="shared" si="49"/>
        <v/>
      </c>
      <c r="G582" s="11" t="str">
        <f t="shared" si="50"/>
        <v/>
      </c>
      <c r="H582" s="11" t="str">
        <f t="shared" si="51"/>
        <v/>
      </c>
      <c r="I582" s="12" t="str">
        <f t="shared" si="52"/>
        <v/>
      </c>
      <c r="J582" s="13" t="str">
        <f t="shared" si="53"/>
        <v/>
      </c>
    </row>
    <row r="583" spans="1:10" ht="23.1" customHeight="1">
      <c r="A583" s="1" t="str">
        <f>IF(COUNTA(B583:C583)=0,"",575)</f>
        <v/>
      </c>
      <c r="B583" s="8"/>
      <c r="C583" s="9"/>
      <c r="D583" s="10" t="str">
        <f t="shared" si="48"/>
        <v/>
      </c>
      <c r="E583" s="1"/>
      <c r="F583" s="11" t="str">
        <f t="shared" si="49"/>
        <v/>
      </c>
      <c r="G583" s="11" t="str">
        <f t="shared" si="50"/>
        <v/>
      </c>
      <c r="H583" s="11" t="str">
        <f t="shared" si="51"/>
        <v/>
      </c>
      <c r="I583" s="12" t="str">
        <f t="shared" si="52"/>
        <v/>
      </c>
      <c r="J583" s="13" t="str">
        <f t="shared" si="53"/>
        <v/>
      </c>
    </row>
    <row r="584" spans="1:10" ht="23.1" customHeight="1">
      <c r="A584" s="1" t="str">
        <f>IF(COUNTA(B584:C584)=0,"",576)</f>
        <v/>
      </c>
      <c r="B584" s="8"/>
      <c r="C584" s="9"/>
      <c r="D584" s="10" t="str">
        <f t="shared" si="48"/>
        <v/>
      </c>
      <c r="E584" s="1"/>
      <c r="F584" s="11" t="str">
        <f t="shared" si="49"/>
        <v/>
      </c>
      <c r="G584" s="11" t="str">
        <f t="shared" si="50"/>
        <v/>
      </c>
      <c r="H584" s="11" t="str">
        <f t="shared" si="51"/>
        <v/>
      </c>
      <c r="I584" s="12" t="str">
        <f t="shared" si="52"/>
        <v/>
      </c>
      <c r="J584" s="13" t="str">
        <f t="shared" si="53"/>
        <v/>
      </c>
    </row>
    <row r="585" spans="1:10" ht="23.1" customHeight="1">
      <c r="A585" s="1" t="str">
        <f>IF(COUNTA(B585:C585)=0,"",577)</f>
        <v/>
      </c>
      <c r="B585" s="8"/>
      <c r="C585" s="9"/>
      <c r="D585" s="10" t="str">
        <f t="shared" ref="D585:D648" si="54">IF(NOT(ISNUMBER(C585)),"",ROUND(C585*30%,2))</f>
        <v/>
      </c>
      <c r="E585" s="1"/>
      <c r="F585" s="11" t="str">
        <f t="shared" ref="F585:F648" si="55">IF(NOT(ISNUMBER(C585)),"",ROUND(H585*30%,2))</f>
        <v/>
      </c>
      <c r="G585" s="11" t="str">
        <f t="shared" ref="G585:G648" si="56">IF(NOT(ISNUMBER(C585)),"",ROUND(H585-F585,2))</f>
        <v/>
      </c>
      <c r="H585" s="11" t="str">
        <f t="shared" ref="H585:H648" si="57">IF(NOT(ISNUMBER(C585)),"",ROUND(C585-D585,2))</f>
        <v/>
      </c>
      <c r="I585" s="12" t="str">
        <f t="shared" ref="I585:I648" si="58">IF(NOT(ISNUMBER(C585)),"",ROUND(C585-SUM(D585,F585:G585),2))</f>
        <v/>
      </c>
      <c r="J585" s="13" t="str">
        <f t="shared" ref="J585:J648" si="59">IF(COUNTA(B585:C585)=0,"",IF(B585="","Falta apartamento",IF(NOT(ISNUMBER(C585)),"Falta valor","Completo")))</f>
        <v/>
      </c>
    </row>
    <row r="586" spans="1:10" ht="23.1" customHeight="1">
      <c r="A586" s="1" t="str">
        <f>IF(COUNTA(B586:C586)=0,"",578)</f>
        <v/>
      </c>
      <c r="B586" s="8"/>
      <c r="C586" s="9"/>
      <c r="D586" s="10" t="str">
        <f t="shared" si="54"/>
        <v/>
      </c>
      <c r="E586" s="1"/>
      <c r="F586" s="11" t="str">
        <f t="shared" si="55"/>
        <v/>
      </c>
      <c r="G586" s="11" t="str">
        <f t="shared" si="56"/>
        <v/>
      </c>
      <c r="H586" s="11" t="str">
        <f t="shared" si="57"/>
        <v/>
      </c>
      <c r="I586" s="12" t="str">
        <f t="shared" si="58"/>
        <v/>
      </c>
      <c r="J586" s="13" t="str">
        <f t="shared" si="59"/>
        <v/>
      </c>
    </row>
    <row r="587" spans="1:10" ht="23.1" customHeight="1">
      <c r="A587" s="1" t="str">
        <f>IF(COUNTA(B587:C587)=0,"",579)</f>
        <v/>
      </c>
      <c r="B587" s="8"/>
      <c r="C587" s="9"/>
      <c r="D587" s="10" t="str">
        <f t="shared" si="54"/>
        <v/>
      </c>
      <c r="E587" s="1"/>
      <c r="F587" s="11" t="str">
        <f t="shared" si="55"/>
        <v/>
      </c>
      <c r="G587" s="11" t="str">
        <f t="shared" si="56"/>
        <v/>
      </c>
      <c r="H587" s="11" t="str">
        <f t="shared" si="57"/>
        <v/>
      </c>
      <c r="I587" s="12" t="str">
        <f t="shared" si="58"/>
        <v/>
      </c>
      <c r="J587" s="13" t="str">
        <f t="shared" si="59"/>
        <v/>
      </c>
    </row>
    <row r="588" spans="1:10" ht="23.1" customHeight="1">
      <c r="A588" s="1" t="str">
        <f>IF(COUNTA(B588:C588)=0,"",580)</f>
        <v/>
      </c>
      <c r="B588" s="8"/>
      <c r="C588" s="9"/>
      <c r="D588" s="10" t="str">
        <f t="shared" si="54"/>
        <v/>
      </c>
      <c r="E588" s="1"/>
      <c r="F588" s="11" t="str">
        <f t="shared" si="55"/>
        <v/>
      </c>
      <c r="G588" s="11" t="str">
        <f t="shared" si="56"/>
        <v/>
      </c>
      <c r="H588" s="11" t="str">
        <f t="shared" si="57"/>
        <v/>
      </c>
      <c r="I588" s="12" t="str">
        <f t="shared" si="58"/>
        <v/>
      </c>
      <c r="J588" s="13" t="str">
        <f t="shared" si="59"/>
        <v/>
      </c>
    </row>
    <row r="589" spans="1:10" ht="23.1" customHeight="1">
      <c r="A589" s="1" t="str">
        <f>IF(COUNTA(B589:C589)=0,"",581)</f>
        <v/>
      </c>
      <c r="B589" s="8"/>
      <c r="C589" s="9"/>
      <c r="D589" s="10" t="str">
        <f t="shared" si="54"/>
        <v/>
      </c>
      <c r="E589" s="1"/>
      <c r="F589" s="11" t="str">
        <f t="shared" si="55"/>
        <v/>
      </c>
      <c r="G589" s="11" t="str">
        <f t="shared" si="56"/>
        <v/>
      </c>
      <c r="H589" s="11" t="str">
        <f t="shared" si="57"/>
        <v/>
      </c>
      <c r="I589" s="12" t="str">
        <f t="shared" si="58"/>
        <v/>
      </c>
      <c r="J589" s="13" t="str">
        <f t="shared" si="59"/>
        <v/>
      </c>
    </row>
    <row r="590" spans="1:10" ht="23.1" customHeight="1">
      <c r="A590" s="1" t="str">
        <f>IF(COUNTA(B590:C590)=0,"",582)</f>
        <v/>
      </c>
      <c r="B590" s="8"/>
      <c r="C590" s="9"/>
      <c r="D590" s="10" t="str">
        <f t="shared" si="54"/>
        <v/>
      </c>
      <c r="E590" s="1"/>
      <c r="F590" s="11" t="str">
        <f t="shared" si="55"/>
        <v/>
      </c>
      <c r="G590" s="11" t="str">
        <f t="shared" si="56"/>
        <v/>
      </c>
      <c r="H590" s="11" t="str">
        <f t="shared" si="57"/>
        <v/>
      </c>
      <c r="I590" s="12" t="str">
        <f t="shared" si="58"/>
        <v/>
      </c>
      <c r="J590" s="13" t="str">
        <f t="shared" si="59"/>
        <v/>
      </c>
    </row>
    <row r="591" spans="1:10" ht="23.1" customHeight="1">
      <c r="A591" s="1" t="str">
        <f>IF(COUNTA(B591:C591)=0,"",583)</f>
        <v/>
      </c>
      <c r="B591" s="8"/>
      <c r="C591" s="9"/>
      <c r="D591" s="10" t="str">
        <f t="shared" si="54"/>
        <v/>
      </c>
      <c r="E591" s="1"/>
      <c r="F591" s="11" t="str">
        <f t="shared" si="55"/>
        <v/>
      </c>
      <c r="G591" s="11" t="str">
        <f t="shared" si="56"/>
        <v/>
      </c>
      <c r="H591" s="11" t="str">
        <f t="shared" si="57"/>
        <v/>
      </c>
      <c r="I591" s="12" t="str">
        <f t="shared" si="58"/>
        <v/>
      </c>
      <c r="J591" s="13" t="str">
        <f t="shared" si="59"/>
        <v/>
      </c>
    </row>
    <row r="592" spans="1:10" ht="23.1" customHeight="1">
      <c r="A592" s="1" t="str">
        <f>IF(COUNTA(B592:C592)=0,"",584)</f>
        <v/>
      </c>
      <c r="B592" s="8"/>
      <c r="C592" s="9"/>
      <c r="D592" s="10" t="str">
        <f t="shared" si="54"/>
        <v/>
      </c>
      <c r="E592" s="1"/>
      <c r="F592" s="11" t="str">
        <f t="shared" si="55"/>
        <v/>
      </c>
      <c r="G592" s="11" t="str">
        <f t="shared" si="56"/>
        <v/>
      </c>
      <c r="H592" s="11" t="str">
        <f t="shared" si="57"/>
        <v/>
      </c>
      <c r="I592" s="12" t="str">
        <f t="shared" si="58"/>
        <v/>
      </c>
      <c r="J592" s="13" t="str">
        <f t="shared" si="59"/>
        <v/>
      </c>
    </row>
    <row r="593" spans="1:10" ht="23.1" customHeight="1">
      <c r="A593" s="1" t="str">
        <f>IF(COUNTA(B593:C593)=0,"",585)</f>
        <v/>
      </c>
      <c r="B593" s="8"/>
      <c r="C593" s="9"/>
      <c r="D593" s="10" t="str">
        <f t="shared" si="54"/>
        <v/>
      </c>
      <c r="E593" s="1"/>
      <c r="F593" s="11" t="str">
        <f t="shared" si="55"/>
        <v/>
      </c>
      <c r="G593" s="11" t="str">
        <f t="shared" si="56"/>
        <v/>
      </c>
      <c r="H593" s="11" t="str">
        <f t="shared" si="57"/>
        <v/>
      </c>
      <c r="I593" s="12" t="str">
        <f t="shared" si="58"/>
        <v/>
      </c>
      <c r="J593" s="13" t="str">
        <f t="shared" si="59"/>
        <v/>
      </c>
    </row>
    <row r="594" spans="1:10" ht="23.1" customHeight="1">
      <c r="A594" s="1" t="str">
        <f>IF(COUNTA(B594:C594)=0,"",586)</f>
        <v/>
      </c>
      <c r="B594" s="8"/>
      <c r="C594" s="9"/>
      <c r="D594" s="10" t="str">
        <f t="shared" si="54"/>
        <v/>
      </c>
      <c r="E594" s="1"/>
      <c r="F594" s="11" t="str">
        <f t="shared" si="55"/>
        <v/>
      </c>
      <c r="G594" s="11" t="str">
        <f t="shared" si="56"/>
        <v/>
      </c>
      <c r="H594" s="11" t="str">
        <f t="shared" si="57"/>
        <v/>
      </c>
      <c r="I594" s="12" t="str">
        <f t="shared" si="58"/>
        <v/>
      </c>
      <c r="J594" s="13" t="str">
        <f t="shared" si="59"/>
        <v/>
      </c>
    </row>
    <row r="595" spans="1:10" ht="23.1" customHeight="1">
      <c r="A595" s="1" t="str">
        <f>IF(COUNTA(B595:C595)=0,"",587)</f>
        <v/>
      </c>
      <c r="B595" s="8"/>
      <c r="C595" s="9"/>
      <c r="D595" s="10" t="str">
        <f t="shared" si="54"/>
        <v/>
      </c>
      <c r="E595" s="1"/>
      <c r="F595" s="11" t="str">
        <f t="shared" si="55"/>
        <v/>
      </c>
      <c r="G595" s="11" t="str">
        <f t="shared" si="56"/>
        <v/>
      </c>
      <c r="H595" s="11" t="str">
        <f t="shared" si="57"/>
        <v/>
      </c>
      <c r="I595" s="12" t="str">
        <f t="shared" si="58"/>
        <v/>
      </c>
      <c r="J595" s="13" t="str">
        <f t="shared" si="59"/>
        <v/>
      </c>
    </row>
    <row r="596" spans="1:10" ht="23.1" customHeight="1">
      <c r="A596" s="1" t="str">
        <f>IF(COUNTA(B596:C596)=0,"",588)</f>
        <v/>
      </c>
      <c r="B596" s="8"/>
      <c r="C596" s="9"/>
      <c r="D596" s="10" t="str">
        <f t="shared" si="54"/>
        <v/>
      </c>
      <c r="E596" s="1"/>
      <c r="F596" s="11" t="str">
        <f t="shared" si="55"/>
        <v/>
      </c>
      <c r="G596" s="11" t="str">
        <f t="shared" si="56"/>
        <v/>
      </c>
      <c r="H596" s="11" t="str">
        <f t="shared" si="57"/>
        <v/>
      </c>
      <c r="I596" s="12" t="str">
        <f t="shared" si="58"/>
        <v/>
      </c>
      <c r="J596" s="13" t="str">
        <f t="shared" si="59"/>
        <v/>
      </c>
    </row>
    <row r="597" spans="1:10" ht="23.1" customHeight="1">
      <c r="A597" s="1" t="str">
        <f>IF(COUNTA(B597:C597)=0,"",589)</f>
        <v/>
      </c>
      <c r="B597" s="8"/>
      <c r="C597" s="9"/>
      <c r="D597" s="10" t="str">
        <f t="shared" si="54"/>
        <v/>
      </c>
      <c r="E597" s="1"/>
      <c r="F597" s="11" t="str">
        <f t="shared" si="55"/>
        <v/>
      </c>
      <c r="G597" s="11" t="str">
        <f t="shared" si="56"/>
        <v/>
      </c>
      <c r="H597" s="11" t="str">
        <f t="shared" si="57"/>
        <v/>
      </c>
      <c r="I597" s="12" t="str">
        <f t="shared" si="58"/>
        <v/>
      </c>
      <c r="J597" s="13" t="str">
        <f t="shared" si="59"/>
        <v/>
      </c>
    </row>
    <row r="598" spans="1:10" ht="23.1" customHeight="1">
      <c r="A598" s="1" t="str">
        <f>IF(COUNTA(B598:C598)=0,"",590)</f>
        <v/>
      </c>
      <c r="B598" s="8"/>
      <c r="C598" s="9"/>
      <c r="D598" s="10" t="str">
        <f t="shared" si="54"/>
        <v/>
      </c>
      <c r="E598" s="1"/>
      <c r="F598" s="11" t="str">
        <f t="shared" si="55"/>
        <v/>
      </c>
      <c r="G598" s="11" t="str">
        <f t="shared" si="56"/>
        <v/>
      </c>
      <c r="H598" s="11" t="str">
        <f t="shared" si="57"/>
        <v/>
      </c>
      <c r="I598" s="12" t="str">
        <f t="shared" si="58"/>
        <v/>
      </c>
      <c r="J598" s="13" t="str">
        <f t="shared" si="59"/>
        <v/>
      </c>
    </row>
    <row r="599" spans="1:10" ht="23.1" customHeight="1">
      <c r="A599" s="1" t="str">
        <f>IF(COUNTA(B599:C599)=0,"",591)</f>
        <v/>
      </c>
      <c r="B599" s="8"/>
      <c r="C599" s="9"/>
      <c r="D599" s="10" t="str">
        <f t="shared" si="54"/>
        <v/>
      </c>
      <c r="E599" s="1"/>
      <c r="F599" s="11" t="str">
        <f t="shared" si="55"/>
        <v/>
      </c>
      <c r="G599" s="11" t="str">
        <f t="shared" si="56"/>
        <v/>
      </c>
      <c r="H599" s="11" t="str">
        <f t="shared" si="57"/>
        <v/>
      </c>
      <c r="I599" s="12" t="str">
        <f t="shared" si="58"/>
        <v/>
      </c>
      <c r="J599" s="13" t="str">
        <f t="shared" si="59"/>
        <v/>
      </c>
    </row>
    <row r="600" spans="1:10" ht="23.1" customHeight="1">
      <c r="A600" s="1" t="str">
        <f>IF(COUNTA(B600:C600)=0,"",592)</f>
        <v/>
      </c>
      <c r="B600" s="8"/>
      <c r="C600" s="9"/>
      <c r="D600" s="10" t="str">
        <f t="shared" si="54"/>
        <v/>
      </c>
      <c r="E600" s="1"/>
      <c r="F600" s="11" t="str">
        <f t="shared" si="55"/>
        <v/>
      </c>
      <c r="G600" s="11" t="str">
        <f t="shared" si="56"/>
        <v/>
      </c>
      <c r="H600" s="11" t="str">
        <f t="shared" si="57"/>
        <v/>
      </c>
      <c r="I600" s="12" t="str">
        <f t="shared" si="58"/>
        <v/>
      </c>
      <c r="J600" s="13" t="str">
        <f t="shared" si="59"/>
        <v/>
      </c>
    </row>
    <row r="601" spans="1:10" ht="23.1" customHeight="1">
      <c r="A601" s="1" t="str">
        <f>IF(COUNTA(B601:C601)=0,"",593)</f>
        <v/>
      </c>
      <c r="B601" s="8"/>
      <c r="C601" s="9"/>
      <c r="D601" s="10" t="str">
        <f t="shared" si="54"/>
        <v/>
      </c>
      <c r="E601" s="1"/>
      <c r="F601" s="11" t="str">
        <f t="shared" si="55"/>
        <v/>
      </c>
      <c r="G601" s="11" t="str">
        <f t="shared" si="56"/>
        <v/>
      </c>
      <c r="H601" s="11" t="str">
        <f t="shared" si="57"/>
        <v/>
      </c>
      <c r="I601" s="12" t="str">
        <f t="shared" si="58"/>
        <v/>
      </c>
      <c r="J601" s="13" t="str">
        <f t="shared" si="59"/>
        <v/>
      </c>
    </row>
    <row r="602" spans="1:10" ht="23.1" customHeight="1">
      <c r="A602" s="1" t="str">
        <f>IF(COUNTA(B602:C602)=0,"",594)</f>
        <v/>
      </c>
      <c r="B602" s="8"/>
      <c r="C602" s="9"/>
      <c r="D602" s="10" t="str">
        <f t="shared" si="54"/>
        <v/>
      </c>
      <c r="E602" s="1"/>
      <c r="F602" s="11" t="str">
        <f t="shared" si="55"/>
        <v/>
      </c>
      <c r="G602" s="11" t="str">
        <f t="shared" si="56"/>
        <v/>
      </c>
      <c r="H602" s="11" t="str">
        <f t="shared" si="57"/>
        <v/>
      </c>
      <c r="I602" s="12" t="str">
        <f t="shared" si="58"/>
        <v/>
      </c>
      <c r="J602" s="13" t="str">
        <f t="shared" si="59"/>
        <v/>
      </c>
    </row>
    <row r="603" spans="1:10" ht="23.1" customHeight="1">
      <c r="A603" s="1" t="str">
        <f>IF(COUNTA(B603:C603)=0,"",595)</f>
        <v/>
      </c>
      <c r="B603" s="8"/>
      <c r="C603" s="9"/>
      <c r="D603" s="10" t="str">
        <f t="shared" si="54"/>
        <v/>
      </c>
      <c r="E603" s="1"/>
      <c r="F603" s="11" t="str">
        <f t="shared" si="55"/>
        <v/>
      </c>
      <c r="G603" s="11" t="str">
        <f t="shared" si="56"/>
        <v/>
      </c>
      <c r="H603" s="11" t="str">
        <f t="shared" si="57"/>
        <v/>
      </c>
      <c r="I603" s="12" t="str">
        <f t="shared" si="58"/>
        <v/>
      </c>
      <c r="J603" s="13" t="str">
        <f t="shared" si="59"/>
        <v/>
      </c>
    </row>
    <row r="604" spans="1:10" ht="23.1" customHeight="1">
      <c r="A604" s="1" t="str">
        <f>IF(COUNTA(B604:C604)=0,"",596)</f>
        <v/>
      </c>
      <c r="B604" s="8"/>
      <c r="C604" s="9"/>
      <c r="D604" s="10" t="str">
        <f t="shared" si="54"/>
        <v/>
      </c>
      <c r="E604" s="1"/>
      <c r="F604" s="11" t="str">
        <f t="shared" si="55"/>
        <v/>
      </c>
      <c r="G604" s="11" t="str">
        <f t="shared" si="56"/>
        <v/>
      </c>
      <c r="H604" s="11" t="str">
        <f t="shared" si="57"/>
        <v/>
      </c>
      <c r="I604" s="12" t="str">
        <f t="shared" si="58"/>
        <v/>
      </c>
      <c r="J604" s="13" t="str">
        <f t="shared" si="59"/>
        <v/>
      </c>
    </row>
    <row r="605" spans="1:10" ht="23.1" customHeight="1">
      <c r="A605" s="1" t="str">
        <f>IF(COUNTA(B605:C605)=0,"",597)</f>
        <v/>
      </c>
      <c r="B605" s="8"/>
      <c r="C605" s="9"/>
      <c r="D605" s="10" t="str">
        <f t="shared" si="54"/>
        <v/>
      </c>
      <c r="E605" s="1"/>
      <c r="F605" s="11" t="str">
        <f t="shared" si="55"/>
        <v/>
      </c>
      <c r="G605" s="11" t="str">
        <f t="shared" si="56"/>
        <v/>
      </c>
      <c r="H605" s="11" t="str">
        <f t="shared" si="57"/>
        <v/>
      </c>
      <c r="I605" s="12" t="str">
        <f t="shared" si="58"/>
        <v/>
      </c>
      <c r="J605" s="13" t="str">
        <f t="shared" si="59"/>
        <v/>
      </c>
    </row>
    <row r="606" spans="1:10" ht="23.1" customHeight="1">
      <c r="A606" s="1" t="str">
        <f>IF(COUNTA(B606:C606)=0,"",598)</f>
        <v/>
      </c>
      <c r="B606" s="8"/>
      <c r="C606" s="9"/>
      <c r="D606" s="10" t="str">
        <f t="shared" si="54"/>
        <v/>
      </c>
      <c r="E606" s="1"/>
      <c r="F606" s="11" t="str">
        <f t="shared" si="55"/>
        <v/>
      </c>
      <c r="G606" s="11" t="str">
        <f t="shared" si="56"/>
        <v/>
      </c>
      <c r="H606" s="11" t="str">
        <f t="shared" si="57"/>
        <v/>
      </c>
      <c r="I606" s="12" t="str">
        <f t="shared" si="58"/>
        <v/>
      </c>
      <c r="J606" s="13" t="str">
        <f t="shared" si="59"/>
        <v/>
      </c>
    </row>
    <row r="607" spans="1:10" ht="23.1" customHeight="1">
      <c r="A607" s="1" t="str">
        <f>IF(COUNTA(B607:C607)=0,"",599)</f>
        <v/>
      </c>
      <c r="B607" s="8"/>
      <c r="C607" s="9"/>
      <c r="D607" s="10" t="str">
        <f t="shared" si="54"/>
        <v/>
      </c>
      <c r="E607" s="1"/>
      <c r="F607" s="11" t="str">
        <f t="shared" si="55"/>
        <v/>
      </c>
      <c r="G607" s="11" t="str">
        <f t="shared" si="56"/>
        <v/>
      </c>
      <c r="H607" s="11" t="str">
        <f t="shared" si="57"/>
        <v/>
      </c>
      <c r="I607" s="12" t="str">
        <f t="shared" si="58"/>
        <v/>
      </c>
      <c r="J607" s="13" t="str">
        <f t="shared" si="59"/>
        <v/>
      </c>
    </row>
    <row r="608" spans="1:10" ht="23.1" customHeight="1">
      <c r="A608" s="1" t="str">
        <f>IF(COUNTA(B608:C608)=0,"",600)</f>
        <v/>
      </c>
      <c r="B608" s="8"/>
      <c r="C608" s="9"/>
      <c r="D608" s="10" t="str">
        <f t="shared" si="54"/>
        <v/>
      </c>
      <c r="E608" s="1"/>
      <c r="F608" s="11" t="str">
        <f t="shared" si="55"/>
        <v/>
      </c>
      <c r="G608" s="11" t="str">
        <f t="shared" si="56"/>
        <v/>
      </c>
      <c r="H608" s="11" t="str">
        <f t="shared" si="57"/>
        <v/>
      </c>
      <c r="I608" s="12" t="str">
        <f t="shared" si="58"/>
        <v/>
      </c>
      <c r="J608" s="13" t="str">
        <f t="shared" si="59"/>
        <v/>
      </c>
    </row>
    <row r="609" spans="1:10" ht="23.1" customHeight="1">
      <c r="A609" s="1" t="str">
        <f>IF(COUNTA(B609:C609)=0,"",601)</f>
        <v/>
      </c>
      <c r="B609" s="8"/>
      <c r="C609" s="9"/>
      <c r="D609" s="10" t="str">
        <f t="shared" si="54"/>
        <v/>
      </c>
      <c r="E609" s="1"/>
      <c r="F609" s="11" t="str">
        <f t="shared" si="55"/>
        <v/>
      </c>
      <c r="G609" s="11" t="str">
        <f t="shared" si="56"/>
        <v/>
      </c>
      <c r="H609" s="11" t="str">
        <f t="shared" si="57"/>
        <v/>
      </c>
      <c r="I609" s="12" t="str">
        <f t="shared" si="58"/>
        <v/>
      </c>
      <c r="J609" s="13" t="str">
        <f t="shared" si="59"/>
        <v/>
      </c>
    </row>
    <row r="610" spans="1:10" ht="23.1" customHeight="1">
      <c r="A610" s="1" t="str">
        <f>IF(COUNTA(B610:C610)=0,"",602)</f>
        <v/>
      </c>
      <c r="B610" s="8"/>
      <c r="C610" s="9"/>
      <c r="D610" s="10" t="str">
        <f t="shared" si="54"/>
        <v/>
      </c>
      <c r="E610" s="1"/>
      <c r="F610" s="11" t="str">
        <f t="shared" si="55"/>
        <v/>
      </c>
      <c r="G610" s="11" t="str">
        <f t="shared" si="56"/>
        <v/>
      </c>
      <c r="H610" s="11" t="str">
        <f t="shared" si="57"/>
        <v/>
      </c>
      <c r="I610" s="12" t="str">
        <f t="shared" si="58"/>
        <v/>
      </c>
      <c r="J610" s="13" t="str">
        <f t="shared" si="59"/>
        <v/>
      </c>
    </row>
    <row r="611" spans="1:10" ht="23.1" customHeight="1">
      <c r="A611" s="1" t="str">
        <f>IF(COUNTA(B611:C611)=0,"",603)</f>
        <v/>
      </c>
      <c r="B611" s="8"/>
      <c r="C611" s="9"/>
      <c r="D611" s="10" t="str">
        <f t="shared" si="54"/>
        <v/>
      </c>
      <c r="E611" s="1"/>
      <c r="F611" s="11" t="str">
        <f t="shared" si="55"/>
        <v/>
      </c>
      <c r="G611" s="11" t="str">
        <f t="shared" si="56"/>
        <v/>
      </c>
      <c r="H611" s="11" t="str">
        <f t="shared" si="57"/>
        <v/>
      </c>
      <c r="I611" s="12" t="str">
        <f t="shared" si="58"/>
        <v/>
      </c>
      <c r="J611" s="13" t="str">
        <f t="shared" si="59"/>
        <v/>
      </c>
    </row>
    <row r="612" spans="1:10" ht="23.1" customHeight="1">
      <c r="A612" s="1" t="str">
        <f>IF(COUNTA(B612:C612)=0,"",604)</f>
        <v/>
      </c>
      <c r="B612" s="8"/>
      <c r="C612" s="9"/>
      <c r="D612" s="10" t="str">
        <f t="shared" si="54"/>
        <v/>
      </c>
      <c r="E612" s="1"/>
      <c r="F612" s="11" t="str">
        <f t="shared" si="55"/>
        <v/>
      </c>
      <c r="G612" s="11" t="str">
        <f t="shared" si="56"/>
        <v/>
      </c>
      <c r="H612" s="11" t="str">
        <f t="shared" si="57"/>
        <v/>
      </c>
      <c r="I612" s="12" t="str">
        <f t="shared" si="58"/>
        <v/>
      </c>
      <c r="J612" s="13" t="str">
        <f t="shared" si="59"/>
        <v/>
      </c>
    </row>
    <row r="613" spans="1:10" ht="23.1" customHeight="1">
      <c r="A613" s="1" t="str">
        <f>IF(COUNTA(B613:C613)=0,"",605)</f>
        <v/>
      </c>
      <c r="B613" s="8"/>
      <c r="C613" s="9"/>
      <c r="D613" s="10" t="str">
        <f t="shared" si="54"/>
        <v/>
      </c>
      <c r="E613" s="1"/>
      <c r="F613" s="11" t="str">
        <f t="shared" si="55"/>
        <v/>
      </c>
      <c r="G613" s="11" t="str">
        <f t="shared" si="56"/>
        <v/>
      </c>
      <c r="H613" s="11" t="str">
        <f t="shared" si="57"/>
        <v/>
      </c>
      <c r="I613" s="12" t="str">
        <f t="shared" si="58"/>
        <v/>
      </c>
      <c r="J613" s="13" t="str">
        <f t="shared" si="59"/>
        <v/>
      </c>
    </row>
    <row r="614" spans="1:10" ht="23.1" customHeight="1">
      <c r="A614" s="1" t="str">
        <f>IF(COUNTA(B614:C614)=0,"",606)</f>
        <v/>
      </c>
      <c r="B614" s="8"/>
      <c r="C614" s="9"/>
      <c r="D614" s="10" t="str">
        <f t="shared" si="54"/>
        <v/>
      </c>
      <c r="E614" s="1"/>
      <c r="F614" s="11" t="str">
        <f t="shared" si="55"/>
        <v/>
      </c>
      <c r="G614" s="11" t="str">
        <f t="shared" si="56"/>
        <v/>
      </c>
      <c r="H614" s="11" t="str">
        <f t="shared" si="57"/>
        <v/>
      </c>
      <c r="I614" s="12" t="str">
        <f t="shared" si="58"/>
        <v/>
      </c>
      <c r="J614" s="13" t="str">
        <f t="shared" si="59"/>
        <v/>
      </c>
    </row>
    <row r="615" spans="1:10" ht="23.1" customHeight="1">
      <c r="A615" s="1" t="str">
        <f>IF(COUNTA(B615:C615)=0,"",607)</f>
        <v/>
      </c>
      <c r="B615" s="8"/>
      <c r="C615" s="9"/>
      <c r="D615" s="10" t="str">
        <f t="shared" si="54"/>
        <v/>
      </c>
      <c r="E615" s="1"/>
      <c r="F615" s="11" t="str">
        <f t="shared" si="55"/>
        <v/>
      </c>
      <c r="G615" s="11" t="str">
        <f t="shared" si="56"/>
        <v/>
      </c>
      <c r="H615" s="11" t="str">
        <f t="shared" si="57"/>
        <v/>
      </c>
      <c r="I615" s="12" t="str">
        <f t="shared" si="58"/>
        <v/>
      </c>
      <c r="J615" s="13" t="str">
        <f t="shared" si="59"/>
        <v/>
      </c>
    </row>
    <row r="616" spans="1:10" ht="23.1" customHeight="1">
      <c r="A616" s="1" t="str">
        <f>IF(COUNTA(B616:C616)=0,"",608)</f>
        <v/>
      </c>
      <c r="B616" s="8"/>
      <c r="C616" s="9"/>
      <c r="D616" s="10" t="str">
        <f t="shared" si="54"/>
        <v/>
      </c>
      <c r="E616" s="1"/>
      <c r="F616" s="11" t="str">
        <f t="shared" si="55"/>
        <v/>
      </c>
      <c r="G616" s="11" t="str">
        <f t="shared" si="56"/>
        <v/>
      </c>
      <c r="H616" s="11" t="str">
        <f t="shared" si="57"/>
        <v/>
      </c>
      <c r="I616" s="12" t="str">
        <f t="shared" si="58"/>
        <v/>
      </c>
      <c r="J616" s="13" t="str">
        <f t="shared" si="59"/>
        <v/>
      </c>
    </row>
    <row r="617" spans="1:10" ht="23.1" customHeight="1">
      <c r="A617" s="1" t="str">
        <f>IF(COUNTA(B617:C617)=0,"",609)</f>
        <v/>
      </c>
      <c r="B617" s="8"/>
      <c r="C617" s="9"/>
      <c r="D617" s="10" t="str">
        <f t="shared" si="54"/>
        <v/>
      </c>
      <c r="E617" s="1"/>
      <c r="F617" s="11" t="str">
        <f t="shared" si="55"/>
        <v/>
      </c>
      <c r="G617" s="11" t="str">
        <f t="shared" si="56"/>
        <v/>
      </c>
      <c r="H617" s="11" t="str">
        <f t="shared" si="57"/>
        <v/>
      </c>
      <c r="I617" s="12" t="str">
        <f t="shared" si="58"/>
        <v/>
      </c>
      <c r="J617" s="13" t="str">
        <f t="shared" si="59"/>
        <v/>
      </c>
    </row>
    <row r="618" spans="1:10" ht="23.1" customHeight="1">
      <c r="A618" s="1" t="str">
        <f>IF(COUNTA(B618:C618)=0,"",610)</f>
        <v/>
      </c>
      <c r="B618" s="8"/>
      <c r="C618" s="9"/>
      <c r="D618" s="10" t="str">
        <f t="shared" si="54"/>
        <v/>
      </c>
      <c r="E618" s="1"/>
      <c r="F618" s="11" t="str">
        <f t="shared" si="55"/>
        <v/>
      </c>
      <c r="G618" s="11" t="str">
        <f t="shared" si="56"/>
        <v/>
      </c>
      <c r="H618" s="11" t="str">
        <f t="shared" si="57"/>
        <v/>
      </c>
      <c r="I618" s="12" t="str">
        <f t="shared" si="58"/>
        <v/>
      </c>
      <c r="J618" s="13" t="str">
        <f t="shared" si="59"/>
        <v/>
      </c>
    </row>
    <row r="619" spans="1:10" ht="23.1" customHeight="1">
      <c r="A619" s="1" t="str">
        <f>IF(COUNTA(B619:C619)=0,"",611)</f>
        <v/>
      </c>
      <c r="B619" s="8"/>
      <c r="C619" s="9"/>
      <c r="D619" s="10" t="str">
        <f t="shared" si="54"/>
        <v/>
      </c>
      <c r="E619" s="1"/>
      <c r="F619" s="11" t="str">
        <f t="shared" si="55"/>
        <v/>
      </c>
      <c r="G619" s="11" t="str">
        <f t="shared" si="56"/>
        <v/>
      </c>
      <c r="H619" s="11" t="str">
        <f t="shared" si="57"/>
        <v/>
      </c>
      <c r="I619" s="12" t="str">
        <f t="shared" si="58"/>
        <v/>
      </c>
      <c r="J619" s="13" t="str">
        <f t="shared" si="59"/>
        <v/>
      </c>
    </row>
    <row r="620" spans="1:10" ht="23.1" customHeight="1">
      <c r="A620" s="1" t="str">
        <f>IF(COUNTA(B620:C620)=0,"",612)</f>
        <v/>
      </c>
      <c r="B620" s="8"/>
      <c r="C620" s="9"/>
      <c r="D620" s="10" t="str">
        <f t="shared" si="54"/>
        <v/>
      </c>
      <c r="E620" s="1"/>
      <c r="F620" s="11" t="str">
        <f t="shared" si="55"/>
        <v/>
      </c>
      <c r="G620" s="11" t="str">
        <f t="shared" si="56"/>
        <v/>
      </c>
      <c r="H620" s="11" t="str">
        <f t="shared" si="57"/>
        <v/>
      </c>
      <c r="I620" s="12" t="str">
        <f t="shared" si="58"/>
        <v/>
      </c>
      <c r="J620" s="13" t="str">
        <f t="shared" si="59"/>
        <v/>
      </c>
    </row>
    <row r="621" spans="1:10" ht="23.1" customHeight="1">
      <c r="A621" s="1" t="str">
        <f>IF(COUNTA(B621:C621)=0,"",613)</f>
        <v/>
      </c>
      <c r="B621" s="8"/>
      <c r="C621" s="9"/>
      <c r="D621" s="10" t="str">
        <f t="shared" si="54"/>
        <v/>
      </c>
      <c r="E621" s="1"/>
      <c r="F621" s="11" t="str">
        <f t="shared" si="55"/>
        <v/>
      </c>
      <c r="G621" s="11" t="str">
        <f t="shared" si="56"/>
        <v/>
      </c>
      <c r="H621" s="11" t="str">
        <f t="shared" si="57"/>
        <v/>
      </c>
      <c r="I621" s="12" t="str">
        <f t="shared" si="58"/>
        <v/>
      </c>
      <c r="J621" s="13" t="str">
        <f t="shared" si="59"/>
        <v/>
      </c>
    </row>
    <row r="622" spans="1:10" ht="23.1" customHeight="1">
      <c r="A622" s="1" t="str">
        <f>IF(COUNTA(B622:C622)=0,"",614)</f>
        <v/>
      </c>
      <c r="B622" s="8"/>
      <c r="C622" s="9"/>
      <c r="D622" s="10" t="str">
        <f t="shared" si="54"/>
        <v/>
      </c>
      <c r="E622" s="1"/>
      <c r="F622" s="11" t="str">
        <f t="shared" si="55"/>
        <v/>
      </c>
      <c r="G622" s="11" t="str">
        <f t="shared" si="56"/>
        <v/>
      </c>
      <c r="H622" s="11" t="str">
        <f t="shared" si="57"/>
        <v/>
      </c>
      <c r="I622" s="12" t="str">
        <f t="shared" si="58"/>
        <v/>
      </c>
      <c r="J622" s="13" t="str">
        <f t="shared" si="59"/>
        <v/>
      </c>
    </row>
    <row r="623" spans="1:10" ht="23.1" customHeight="1">
      <c r="A623" s="1" t="str">
        <f>IF(COUNTA(B623:C623)=0,"",615)</f>
        <v/>
      </c>
      <c r="B623" s="8"/>
      <c r="C623" s="9"/>
      <c r="D623" s="10" t="str">
        <f t="shared" si="54"/>
        <v/>
      </c>
      <c r="E623" s="1"/>
      <c r="F623" s="11" t="str">
        <f t="shared" si="55"/>
        <v/>
      </c>
      <c r="G623" s="11" t="str">
        <f t="shared" si="56"/>
        <v/>
      </c>
      <c r="H623" s="11" t="str">
        <f t="shared" si="57"/>
        <v/>
      </c>
      <c r="I623" s="12" t="str">
        <f t="shared" si="58"/>
        <v/>
      </c>
      <c r="J623" s="13" t="str">
        <f t="shared" si="59"/>
        <v/>
      </c>
    </row>
    <row r="624" spans="1:10" ht="23.1" customHeight="1">
      <c r="A624" s="1" t="str">
        <f>IF(COUNTA(B624:C624)=0,"",616)</f>
        <v/>
      </c>
      <c r="B624" s="8"/>
      <c r="C624" s="9"/>
      <c r="D624" s="10" t="str">
        <f t="shared" si="54"/>
        <v/>
      </c>
      <c r="E624" s="1"/>
      <c r="F624" s="11" t="str">
        <f t="shared" si="55"/>
        <v/>
      </c>
      <c r="G624" s="11" t="str">
        <f t="shared" si="56"/>
        <v/>
      </c>
      <c r="H624" s="11" t="str">
        <f t="shared" si="57"/>
        <v/>
      </c>
      <c r="I624" s="12" t="str">
        <f t="shared" si="58"/>
        <v/>
      </c>
      <c r="J624" s="13" t="str">
        <f t="shared" si="59"/>
        <v/>
      </c>
    </row>
    <row r="625" spans="1:10" ht="23.1" customHeight="1">
      <c r="A625" s="1" t="str">
        <f>IF(COUNTA(B625:C625)=0,"",617)</f>
        <v/>
      </c>
      <c r="B625" s="8"/>
      <c r="C625" s="9"/>
      <c r="D625" s="10" t="str">
        <f t="shared" si="54"/>
        <v/>
      </c>
      <c r="E625" s="1"/>
      <c r="F625" s="11" t="str">
        <f t="shared" si="55"/>
        <v/>
      </c>
      <c r="G625" s="11" t="str">
        <f t="shared" si="56"/>
        <v/>
      </c>
      <c r="H625" s="11" t="str">
        <f t="shared" si="57"/>
        <v/>
      </c>
      <c r="I625" s="12" t="str">
        <f t="shared" si="58"/>
        <v/>
      </c>
      <c r="J625" s="13" t="str">
        <f t="shared" si="59"/>
        <v/>
      </c>
    </row>
    <row r="626" spans="1:10" ht="23.1" customHeight="1">
      <c r="A626" s="1" t="str">
        <f>IF(COUNTA(B626:C626)=0,"",618)</f>
        <v/>
      </c>
      <c r="B626" s="8"/>
      <c r="C626" s="9"/>
      <c r="D626" s="10" t="str">
        <f t="shared" si="54"/>
        <v/>
      </c>
      <c r="E626" s="1"/>
      <c r="F626" s="11" t="str">
        <f t="shared" si="55"/>
        <v/>
      </c>
      <c r="G626" s="11" t="str">
        <f t="shared" si="56"/>
        <v/>
      </c>
      <c r="H626" s="11" t="str">
        <f t="shared" si="57"/>
        <v/>
      </c>
      <c r="I626" s="12" t="str">
        <f t="shared" si="58"/>
        <v/>
      </c>
      <c r="J626" s="13" t="str">
        <f t="shared" si="59"/>
        <v/>
      </c>
    </row>
    <row r="627" spans="1:10" ht="23.1" customHeight="1">
      <c r="A627" s="1" t="str">
        <f>IF(COUNTA(B627:C627)=0,"",619)</f>
        <v/>
      </c>
      <c r="B627" s="8"/>
      <c r="C627" s="9"/>
      <c r="D627" s="10" t="str">
        <f t="shared" si="54"/>
        <v/>
      </c>
      <c r="E627" s="1"/>
      <c r="F627" s="11" t="str">
        <f t="shared" si="55"/>
        <v/>
      </c>
      <c r="G627" s="11" t="str">
        <f t="shared" si="56"/>
        <v/>
      </c>
      <c r="H627" s="11" t="str">
        <f t="shared" si="57"/>
        <v/>
      </c>
      <c r="I627" s="12" t="str">
        <f t="shared" si="58"/>
        <v/>
      </c>
      <c r="J627" s="13" t="str">
        <f t="shared" si="59"/>
        <v/>
      </c>
    </row>
    <row r="628" spans="1:10" ht="23.1" customHeight="1">
      <c r="A628" s="1" t="str">
        <f>IF(COUNTA(B628:C628)=0,"",620)</f>
        <v/>
      </c>
      <c r="B628" s="8"/>
      <c r="C628" s="9"/>
      <c r="D628" s="10" t="str">
        <f t="shared" si="54"/>
        <v/>
      </c>
      <c r="E628" s="1"/>
      <c r="F628" s="11" t="str">
        <f t="shared" si="55"/>
        <v/>
      </c>
      <c r="G628" s="11" t="str">
        <f t="shared" si="56"/>
        <v/>
      </c>
      <c r="H628" s="11" t="str">
        <f t="shared" si="57"/>
        <v/>
      </c>
      <c r="I628" s="12" t="str">
        <f t="shared" si="58"/>
        <v/>
      </c>
      <c r="J628" s="13" t="str">
        <f t="shared" si="59"/>
        <v/>
      </c>
    </row>
    <row r="629" spans="1:10" ht="23.1" customHeight="1">
      <c r="A629" s="1" t="str">
        <f>IF(COUNTA(B629:C629)=0,"",621)</f>
        <v/>
      </c>
      <c r="B629" s="8"/>
      <c r="C629" s="9"/>
      <c r="D629" s="10" t="str">
        <f t="shared" si="54"/>
        <v/>
      </c>
      <c r="E629" s="1"/>
      <c r="F629" s="11" t="str">
        <f t="shared" si="55"/>
        <v/>
      </c>
      <c r="G629" s="11" t="str">
        <f t="shared" si="56"/>
        <v/>
      </c>
      <c r="H629" s="11" t="str">
        <f t="shared" si="57"/>
        <v/>
      </c>
      <c r="I629" s="12" t="str">
        <f t="shared" si="58"/>
        <v/>
      </c>
      <c r="J629" s="13" t="str">
        <f t="shared" si="59"/>
        <v/>
      </c>
    </row>
    <row r="630" spans="1:10" ht="23.1" customHeight="1">
      <c r="A630" s="1" t="str">
        <f>IF(COUNTA(B630:C630)=0,"",622)</f>
        <v/>
      </c>
      <c r="B630" s="8"/>
      <c r="C630" s="9"/>
      <c r="D630" s="10" t="str">
        <f t="shared" si="54"/>
        <v/>
      </c>
      <c r="E630" s="1"/>
      <c r="F630" s="11" t="str">
        <f t="shared" si="55"/>
        <v/>
      </c>
      <c r="G630" s="11" t="str">
        <f t="shared" si="56"/>
        <v/>
      </c>
      <c r="H630" s="11" t="str">
        <f t="shared" si="57"/>
        <v/>
      </c>
      <c r="I630" s="12" t="str">
        <f t="shared" si="58"/>
        <v/>
      </c>
      <c r="J630" s="13" t="str">
        <f t="shared" si="59"/>
        <v/>
      </c>
    </row>
    <row r="631" spans="1:10" ht="23.1" customHeight="1">
      <c r="A631" s="1" t="str">
        <f>IF(COUNTA(B631:C631)=0,"",623)</f>
        <v/>
      </c>
      <c r="B631" s="8"/>
      <c r="C631" s="9"/>
      <c r="D631" s="10" t="str">
        <f t="shared" si="54"/>
        <v/>
      </c>
      <c r="E631" s="1"/>
      <c r="F631" s="11" t="str">
        <f t="shared" si="55"/>
        <v/>
      </c>
      <c r="G631" s="11" t="str">
        <f t="shared" si="56"/>
        <v/>
      </c>
      <c r="H631" s="11" t="str">
        <f t="shared" si="57"/>
        <v/>
      </c>
      <c r="I631" s="12" t="str">
        <f t="shared" si="58"/>
        <v/>
      </c>
      <c r="J631" s="13" t="str">
        <f t="shared" si="59"/>
        <v/>
      </c>
    </row>
    <row r="632" spans="1:10" ht="23.1" customHeight="1">
      <c r="A632" s="1" t="str">
        <f>IF(COUNTA(B632:C632)=0,"",624)</f>
        <v/>
      </c>
      <c r="B632" s="8"/>
      <c r="C632" s="9"/>
      <c r="D632" s="10" t="str">
        <f t="shared" si="54"/>
        <v/>
      </c>
      <c r="E632" s="1"/>
      <c r="F632" s="11" t="str">
        <f t="shared" si="55"/>
        <v/>
      </c>
      <c r="G632" s="11" t="str">
        <f t="shared" si="56"/>
        <v/>
      </c>
      <c r="H632" s="11" t="str">
        <f t="shared" si="57"/>
        <v/>
      </c>
      <c r="I632" s="12" t="str">
        <f t="shared" si="58"/>
        <v/>
      </c>
      <c r="J632" s="13" t="str">
        <f t="shared" si="59"/>
        <v/>
      </c>
    </row>
    <row r="633" spans="1:10" ht="23.1" customHeight="1">
      <c r="A633" s="1" t="str">
        <f>IF(COUNTA(B633:C633)=0,"",625)</f>
        <v/>
      </c>
      <c r="B633" s="8"/>
      <c r="C633" s="9"/>
      <c r="D633" s="10" t="str">
        <f t="shared" si="54"/>
        <v/>
      </c>
      <c r="E633" s="1"/>
      <c r="F633" s="11" t="str">
        <f t="shared" si="55"/>
        <v/>
      </c>
      <c r="G633" s="11" t="str">
        <f t="shared" si="56"/>
        <v/>
      </c>
      <c r="H633" s="11" t="str">
        <f t="shared" si="57"/>
        <v/>
      </c>
      <c r="I633" s="12" t="str">
        <f t="shared" si="58"/>
        <v/>
      </c>
      <c r="J633" s="13" t="str">
        <f t="shared" si="59"/>
        <v/>
      </c>
    </row>
    <row r="634" spans="1:10" ht="23.1" customHeight="1">
      <c r="A634" s="1" t="str">
        <f>IF(COUNTA(B634:C634)=0,"",626)</f>
        <v/>
      </c>
      <c r="B634" s="8"/>
      <c r="C634" s="9"/>
      <c r="D634" s="10" t="str">
        <f t="shared" si="54"/>
        <v/>
      </c>
      <c r="E634" s="1"/>
      <c r="F634" s="11" t="str">
        <f t="shared" si="55"/>
        <v/>
      </c>
      <c r="G634" s="11" t="str">
        <f t="shared" si="56"/>
        <v/>
      </c>
      <c r="H634" s="11" t="str">
        <f t="shared" si="57"/>
        <v/>
      </c>
      <c r="I634" s="12" t="str">
        <f t="shared" si="58"/>
        <v/>
      </c>
      <c r="J634" s="13" t="str">
        <f t="shared" si="59"/>
        <v/>
      </c>
    </row>
    <row r="635" spans="1:10" ht="23.1" customHeight="1">
      <c r="A635" s="1" t="str">
        <f>IF(COUNTA(B635:C635)=0,"",627)</f>
        <v/>
      </c>
      <c r="B635" s="8"/>
      <c r="C635" s="9"/>
      <c r="D635" s="10" t="str">
        <f t="shared" si="54"/>
        <v/>
      </c>
      <c r="E635" s="1"/>
      <c r="F635" s="11" t="str">
        <f t="shared" si="55"/>
        <v/>
      </c>
      <c r="G635" s="11" t="str">
        <f t="shared" si="56"/>
        <v/>
      </c>
      <c r="H635" s="11" t="str">
        <f t="shared" si="57"/>
        <v/>
      </c>
      <c r="I635" s="12" t="str">
        <f t="shared" si="58"/>
        <v/>
      </c>
      <c r="J635" s="13" t="str">
        <f t="shared" si="59"/>
        <v/>
      </c>
    </row>
    <row r="636" spans="1:10" ht="23.1" customHeight="1">
      <c r="A636" s="1" t="str">
        <f>IF(COUNTA(B636:C636)=0,"",628)</f>
        <v/>
      </c>
      <c r="B636" s="8"/>
      <c r="C636" s="9"/>
      <c r="D636" s="10" t="str">
        <f t="shared" si="54"/>
        <v/>
      </c>
      <c r="E636" s="1"/>
      <c r="F636" s="11" t="str">
        <f t="shared" si="55"/>
        <v/>
      </c>
      <c r="G636" s="11" t="str">
        <f t="shared" si="56"/>
        <v/>
      </c>
      <c r="H636" s="11" t="str">
        <f t="shared" si="57"/>
        <v/>
      </c>
      <c r="I636" s="12" t="str">
        <f t="shared" si="58"/>
        <v/>
      </c>
      <c r="J636" s="13" t="str">
        <f t="shared" si="59"/>
        <v/>
      </c>
    </row>
    <row r="637" spans="1:10" ht="23.1" customHeight="1">
      <c r="A637" s="1" t="str">
        <f>IF(COUNTA(B637:C637)=0,"",629)</f>
        <v/>
      </c>
      <c r="B637" s="8"/>
      <c r="C637" s="9"/>
      <c r="D637" s="10" t="str">
        <f t="shared" si="54"/>
        <v/>
      </c>
      <c r="E637" s="1"/>
      <c r="F637" s="11" t="str">
        <f t="shared" si="55"/>
        <v/>
      </c>
      <c r="G637" s="11" t="str">
        <f t="shared" si="56"/>
        <v/>
      </c>
      <c r="H637" s="11" t="str">
        <f t="shared" si="57"/>
        <v/>
      </c>
      <c r="I637" s="12" t="str">
        <f t="shared" si="58"/>
        <v/>
      </c>
      <c r="J637" s="13" t="str">
        <f t="shared" si="59"/>
        <v/>
      </c>
    </row>
    <row r="638" spans="1:10" ht="23.1" customHeight="1">
      <c r="A638" s="1" t="str">
        <f>IF(COUNTA(B638:C638)=0,"",630)</f>
        <v/>
      </c>
      <c r="B638" s="8"/>
      <c r="C638" s="9"/>
      <c r="D638" s="10" t="str">
        <f t="shared" si="54"/>
        <v/>
      </c>
      <c r="E638" s="1"/>
      <c r="F638" s="11" t="str">
        <f t="shared" si="55"/>
        <v/>
      </c>
      <c r="G638" s="11" t="str">
        <f t="shared" si="56"/>
        <v/>
      </c>
      <c r="H638" s="11" t="str">
        <f t="shared" si="57"/>
        <v/>
      </c>
      <c r="I638" s="12" t="str">
        <f t="shared" si="58"/>
        <v/>
      </c>
      <c r="J638" s="13" t="str">
        <f t="shared" si="59"/>
        <v/>
      </c>
    </row>
    <row r="639" spans="1:10" ht="23.1" customHeight="1">
      <c r="A639" s="1" t="str">
        <f>IF(COUNTA(B639:C639)=0,"",631)</f>
        <v/>
      </c>
      <c r="B639" s="8"/>
      <c r="C639" s="9"/>
      <c r="D639" s="10" t="str">
        <f t="shared" si="54"/>
        <v/>
      </c>
      <c r="E639" s="1"/>
      <c r="F639" s="11" t="str">
        <f t="shared" si="55"/>
        <v/>
      </c>
      <c r="G639" s="11" t="str">
        <f t="shared" si="56"/>
        <v/>
      </c>
      <c r="H639" s="11" t="str">
        <f t="shared" si="57"/>
        <v/>
      </c>
      <c r="I639" s="12" t="str">
        <f t="shared" si="58"/>
        <v/>
      </c>
      <c r="J639" s="13" t="str">
        <f t="shared" si="59"/>
        <v/>
      </c>
    </row>
    <row r="640" spans="1:10" ht="23.1" customHeight="1">
      <c r="A640" s="1" t="str">
        <f>IF(COUNTA(B640:C640)=0,"",632)</f>
        <v/>
      </c>
      <c r="B640" s="8"/>
      <c r="C640" s="9"/>
      <c r="D640" s="10" t="str">
        <f t="shared" si="54"/>
        <v/>
      </c>
      <c r="E640" s="1"/>
      <c r="F640" s="11" t="str">
        <f t="shared" si="55"/>
        <v/>
      </c>
      <c r="G640" s="11" t="str">
        <f t="shared" si="56"/>
        <v/>
      </c>
      <c r="H640" s="11" t="str">
        <f t="shared" si="57"/>
        <v/>
      </c>
      <c r="I640" s="12" t="str">
        <f t="shared" si="58"/>
        <v/>
      </c>
      <c r="J640" s="13" t="str">
        <f t="shared" si="59"/>
        <v/>
      </c>
    </row>
    <row r="641" spans="1:10" ht="23.1" customHeight="1">
      <c r="A641" s="1" t="str">
        <f>IF(COUNTA(B641:C641)=0,"",633)</f>
        <v/>
      </c>
      <c r="B641" s="8"/>
      <c r="C641" s="9"/>
      <c r="D641" s="10" t="str">
        <f t="shared" si="54"/>
        <v/>
      </c>
      <c r="E641" s="1"/>
      <c r="F641" s="11" t="str">
        <f t="shared" si="55"/>
        <v/>
      </c>
      <c r="G641" s="11" t="str">
        <f t="shared" si="56"/>
        <v/>
      </c>
      <c r="H641" s="11" t="str">
        <f t="shared" si="57"/>
        <v/>
      </c>
      <c r="I641" s="12" t="str">
        <f t="shared" si="58"/>
        <v/>
      </c>
      <c r="J641" s="13" t="str">
        <f t="shared" si="59"/>
        <v/>
      </c>
    </row>
    <row r="642" spans="1:10" ht="23.1" customHeight="1">
      <c r="A642" s="1" t="str">
        <f>IF(COUNTA(B642:C642)=0,"",634)</f>
        <v/>
      </c>
      <c r="B642" s="8"/>
      <c r="C642" s="9"/>
      <c r="D642" s="10" t="str">
        <f t="shared" si="54"/>
        <v/>
      </c>
      <c r="E642" s="1"/>
      <c r="F642" s="11" t="str">
        <f t="shared" si="55"/>
        <v/>
      </c>
      <c r="G642" s="11" t="str">
        <f t="shared" si="56"/>
        <v/>
      </c>
      <c r="H642" s="11" t="str">
        <f t="shared" si="57"/>
        <v/>
      </c>
      <c r="I642" s="12" t="str">
        <f t="shared" si="58"/>
        <v/>
      </c>
      <c r="J642" s="13" t="str">
        <f t="shared" si="59"/>
        <v/>
      </c>
    </row>
    <row r="643" spans="1:10" ht="23.1" customHeight="1">
      <c r="A643" s="1" t="str">
        <f>IF(COUNTA(B643:C643)=0,"",635)</f>
        <v/>
      </c>
      <c r="B643" s="8"/>
      <c r="C643" s="9"/>
      <c r="D643" s="10" t="str">
        <f t="shared" si="54"/>
        <v/>
      </c>
      <c r="E643" s="1"/>
      <c r="F643" s="11" t="str">
        <f t="shared" si="55"/>
        <v/>
      </c>
      <c r="G643" s="11" t="str">
        <f t="shared" si="56"/>
        <v/>
      </c>
      <c r="H643" s="11" t="str">
        <f t="shared" si="57"/>
        <v/>
      </c>
      <c r="I643" s="12" t="str">
        <f t="shared" si="58"/>
        <v/>
      </c>
      <c r="J643" s="13" t="str">
        <f t="shared" si="59"/>
        <v/>
      </c>
    </row>
    <row r="644" spans="1:10" ht="23.1" customHeight="1">
      <c r="A644" s="1" t="str">
        <f>IF(COUNTA(B644:C644)=0,"",636)</f>
        <v/>
      </c>
      <c r="B644" s="8"/>
      <c r="C644" s="9"/>
      <c r="D644" s="10" t="str">
        <f t="shared" si="54"/>
        <v/>
      </c>
      <c r="E644" s="1"/>
      <c r="F644" s="11" t="str">
        <f t="shared" si="55"/>
        <v/>
      </c>
      <c r="G644" s="11" t="str">
        <f t="shared" si="56"/>
        <v/>
      </c>
      <c r="H644" s="11" t="str">
        <f t="shared" si="57"/>
        <v/>
      </c>
      <c r="I644" s="12" t="str">
        <f t="shared" si="58"/>
        <v/>
      </c>
      <c r="J644" s="13" t="str">
        <f t="shared" si="59"/>
        <v/>
      </c>
    </row>
    <row r="645" spans="1:10" ht="23.1" customHeight="1">
      <c r="A645" s="1" t="str">
        <f>IF(COUNTA(B645:C645)=0,"",637)</f>
        <v/>
      </c>
      <c r="B645" s="8"/>
      <c r="C645" s="9"/>
      <c r="D645" s="10" t="str">
        <f t="shared" si="54"/>
        <v/>
      </c>
      <c r="E645" s="1"/>
      <c r="F645" s="11" t="str">
        <f t="shared" si="55"/>
        <v/>
      </c>
      <c r="G645" s="11" t="str">
        <f t="shared" si="56"/>
        <v/>
      </c>
      <c r="H645" s="11" t="str">
        <f t="shared" si="57"/>
        <v/>
      </c>
      <c r="I645" s="12" t="str">
        <f t="shared" si="58"/>
        <v/>
      </c>
      <c r="J645" s="13" t="str">
        <f t="shared" si="59"/>
        <v/>
      </c>
    </row>
    <row r="646" spans="1:10" ht="23.1" customHeight="1">
      <c r="A646" s="1" t="str">
        <f>IF(COUNTA(B646:C646)=0,"",638)</f>
        <v/>
      </c>
      <c r="B646" s="8"/>
      <c r="C646" s="9"/>
      <c r="D646" s="10" t="str">
        <f t="shared" si="54"/>
        <v/>
      </c>
      <c r="E646" s="1"/>
      <c r="F646" s="11" t="str">
        <f t="shared" si="55"/>
        <v/>
      </c>
      <c r="G646" s="11" t="str">
        <f t="shared" si="56"/>
        <v/>
      </c>
      <c r="H646" s="11" t="str">
        <f t="shared" si="57"/>
        <v/>
      </c>
      <c r="I646" s="12" t="str">
        <f t="shared" si="58"/>
        <v/>
      </c>
      <c r="J646" s="13" t="str">
        <f t="shared" si="59"/>
        <v/>
      </c>
    </row>
    <row r="647" spans="1:10" ht="23.1" customHeight="1">
      <c r="A647" s="1" t="str">
        <f>IF(COUNTA(B647:C647)=0,"",639)</f>
        <v/>
      </c>
      <c r="B647" s="8"/>
      <c r="C647" s="9"/>
      <c r="D647" s="10" t="str">
        <f t="shared" si="54"/>
        <v/>
      </c>
      <c r="E647" s="1"/>
      <c r="F647" s="11" t="str">
        <f t="shared" si="55"/>
        <v/>
      </c>
      <c r="G647" s="11" t="str">
        <f t="shared" si="56"/>
        <v/>
      </c>
      <c r="H647" s="11" t="str">
        <f t="shared" si="57"/>
        <v/>
      </c>
      <c r="I647" s="12" t="str">
        <f t="shared" si="58"/>
        <v/>
      </c>
      <c r="J647" s="13" t="str">
        <f t="shared" si="59"/>
        <v/>
      </c>
    </row>
    <row r="648" spans="1:10" ht="23.1" customHeight="1">
      <c r="A648" s="1" t="str">
        <f>IF(COUNTA(B648:C648)=0,"",640)</f>
        <v/>
      </c>
      <c r="B648" s="8"/>
      <c r="C648" s="9"/>
      <c r="D648" s="10" t="str">
        <f t="shared" si="54"/>
        <v/>
      </c>
      <c r="E648" s="1"/>
      <c r="F648" s="11" t="str">
        <f t="shared" si="55"/>
        <v/>
      </c>
      <c r="G648" s="11" t="str">
        <f t="shared" si="56"/>
        <v/>
      </c>
      <c r="H648" s="11" t="str">
        <f t="shared" si="57"/>
        <v/>
      </c>
      <c r="I648" s="12" t="str">
        <f t="shared" si="58"/>
        <v/>
      </c>
      <c r="J648" s="13" t="str">
        <f t="shared" si="59"/>
        <v/>
      </c>
    </row>
    <row r="649" spans="1:10" ht="23.1" customHeight="1">
      <c r="A649" s="1" t="str">
        <f>IF(COUNTA(B649:C649)=0,"",641)</f>
        <v/>
      </c>
      <c r="B649" s="8"/>
      <c r="C649" s="9"/>
      <c r="D649" s="10" t="str">
        <f t="shared" ref="D649:D712" si="60">IF(NOT(ISNUMBER(C649)),"",ROUND(C649*30%,2))</f>
        <v/>
      </c>
      <c r="E649" s="1"/>
      <c r="F649" s="11" t="str">
        <f t="shared" ref="F649:F712" si="61">IF(NOT(ISNUMBER(C649)),"",ROUND(H649*30%,2))</f>
        <v/>
      </c>
      <c r="G649" s="11" t="str">
        <f t="shared" ref="G649:G712" si="62">IF(NOT(ISNUMBER(C649)),"",ROUND(H649-F649,2))</f>
        <v/>
      </c>
      <c r="H649" s="11" t="str">
        <f t="shared" ref="H649:H712" si="63">IF(NOT(ISNUMBER(C649)),"",ROUND(C649-D649,2))</f>
        <v/>
      </c>
      <c r="I649" s="12" t="str">
        <f t="shared" ref="I649:I712" si="64">IF(NOT(ISNUMBER(C649)),"",ROUND(C649-SUM(D649,F649:G649),2))</f>
        <v/>
      </c>
      <c r="J649" s="13" t="str">
        <f t="shared" ref="J649:J712" si="65">IF(COUNTA(B649:C649)=0,"",IF(B649="","Falta apartamento",IF(NOT(ISNUMBER(C649)),"Falta valor","Completo")))</f>
        <v/>
      </c>
    </row>
    <row r="650" spans="1:10" ht="23.1" customHeight="1">
      <c r="A650" s="1" t="str">
        <f>IF(COUNTA(B650:C650)=0,"",642)</f>
        <v/>
      </c>
      <c r="B650" s="8"/>
      <c r="C650" s="9"/>
      <c r="D650" s="10" t="str">
        <f t="shared" si="60"/>
        <v/>
      </c>
      <c r="E650" s="1"/>
      <c r="F650" s="11" t="str">
        <f t="shared" si="61"/>
        <v/>
      </c>
      <c r="G650" s="11" t="str">
        <f t="shared" si="62"/>
        <v/>
      </c>
      <c r="H650" s="11" t="str">
        <f t="shared" si="63"/>
        <v/>
      </c>
      <c r="I650" s="12" t="str">
        <f t="shared" si="64"/>
        <v/>
      </c>
      <c r="J650" s="13" t="str">
        <f t="shared" si="65"/>
        <v/>
      </c>
    </row>
    <row r="651" spans="1:10" ht="23.1" customHeight="1">
      <c r="A651" s="1" t="str">
        <f>IF(COUNTA(B651:C651)=0,"",643)</f>
        <v/>
      </c>
      <c r="B651" s="8"/>
      <c r="C651" s="9"/>
      <c r="D651" s="10" t="str">
        <f t="shared" si="60"/>
        <v/>
      </c>
      <c r="E651" s="1"/>
      <c r="F651" s="11" t="str">
        <f t="shared" si="61"/>
        <v/>
      </c>
      <c r="G651" s="11" t="str">
        <f t="shared" si="62"/>
        <v/>
      </c>
      <c r="H651" s="11" t="str">
        <f t="shared" si="63"/>
        <v/>
      </c>
      <c r="I651" s="12" t="str">
        <f t="shared" si="64"/>
        <v/>
      </c>
      <c r="J651" s="13" t="str">
        <f t="shared" si="65"/>
        <v/>
      </c>
    </row>
    <row r="652" spans="1:10" ht="23.1" customHeight="1">
      <c r="A652" s="1" t="str">
        <f>IF(COUNTA(B652:C652)=0,"",644)</f>
        <v/>
      </c>
      <c r="B652" s="8"/>
      <c r="C652" s="9"/>
      <c r="D652" s="10" t="str">
        <f t="shared" si="60"/>
        <v/>
      </c>
      <c r="E652" s="1"/>
      <c r="F652" s="11" t="str">
        <f t="shared" si="61"/>
        <v/>
      </c>
      <c r="G652" s="11" t="str">
        <f t="shared" si="62"/>
        <v/>
      </c>
      <c r="H652" s="11" t="str">
        <f t="shared" si="63"/>
        <v/>
      </c>
      <c r="I652" s="12" t="str">
        <f t="shared" si="64"/>
        <v/>
      </c>
      <c r="J652" s="13" t="str">
        <f t="shared" si="65"/>
        <v/>
      </c>
    </row>
    <row r="653" spans="1:10" ht="23.1" customHeight="1">
      <c r="A653" s="1" t="str">
        <f>IF(COUNTA(B653:C653)=0,"",645)</f>
        <v/>
      </c>
      <c r="B653" s="8"/>
      <c r="C653" s="9"/>
      <c r="D653" s="10" t="str">
        <f t="shared" si="60"/>
        <v/>
      </c>
      <c r="E653" s="1"/>
      <c r="F653" s="11" t="str">
        <f t="shared" si="61"/>
        <v/>
      </c>
      <c r="G653" s="11" t="str">
        <f t="shared" si="62"/>
        <v/>
      </c>
      <c r="H653" s="11" t="str">
        <f t="shared" si="63"/>
        <v/>
      </c>
      <c r="I653" s="12" t="str">
        <f t="shared" si="64"/>
        <v/>
      </c>
      <c r="J653" s="13" t="str">
        <f t="shared" si="65"/>
        <v/>
      </c>
    </row>
    <row r="654" spans="1:10" ht="23.1" customHeight="1">
      <c r="A654" s="1" t="str">
        <f>IF(COUNTA(B654:C654)=0,"",646)</f>
        <v/>
      </c>
      <c r="B654" s="8"/>
      <c r="C654" s="9"/>
      <c r="D654" s="10" t="str">
        <f t="shared" si="60"/>
        <v/>
      </c>
      <c r="E654" s="1"/>
      <c r="F654" s="11" t="str">
        <f t="shared" si="61"/>
        <v/>
      </c>
      <c r="G654" s="11" t="str">
        <f t="shared" si="62"/>
        <v/>
      </c>
      <c r="H654" s="11" t="str">
        <f t="shared" si="63"/>
        <v/>
      </c>
      <c r="I654" s="12" t="str">
        <f t="shared" si="64"/>
        <v/>
      </c>
      <c r="J654" s="13" t="str">
        <f t="shared" si="65"/>
        <v/>
      </c>
    </row>
    <row r="655" spans="1:10" ht="23.1" customHeight="1">
      <c r="A655" s="1" t="str">
        <f>IF(COUNTA(B655:C655)=0,"",647)</f>
        <v/>
      </c>
      <c r="B655" s="8"/>
      <c r="C655" s="9"/>
      <c r="D655" s="10" t="str">
        <f t="shared" si="60"/>
        <v/>
      </c>
      <c r="E655" s="1"/>
      <c r="F655" s="11" t="str">
        <f t="shared" si="61"/>
        <v/>
      </c>
      <c r="G655" s="11" t="str">
        <f t="shared" si="62"/>
        <v/>
      </c>
      <c r="H655" s="11" t="str">
        <f t="shared" si="63"/>
        <v/>
      </c>
      <c r="I655" s="12" t="str">
        <f t="shared" si="64"/>
        <v/>
      </c>
      <c r="J655" s="13" t="str">
        <f t="shared" si="65"/>
        <v/>
      </c>
    </row>
    <row r="656" spans="1:10" ht="23.1" customHeight="1">
      <c r="A656" s="1" t="str">
        <f>IF(COUNTA(B656:C656)=0,"",648)</f>
        <v/>
      </c>
      <c r="B656" s="8"/>
      <c r="C656" s="9"/>
      <c r="D656" s="10" t="str">
        <f t="shared" si="60"/>
        <v/>
      </c>
      <c r="E656" s="1"/>
      <c r="F656" s="11" t="str">
        <f t="shared" si="61"/>
        <v/>
      </c>
      <c r="G656" s="11" t="str">
        <f t="shared" si="62"/>
        <v/>
      </c>
      <c r="H656" s="11" t="str">
        <f t="shared" si="63"/>
        <v/>
      </c>
      <c r="I656" s="12" t="str">
        <f t="shared" si="64"/>
        <v/>
      </c>
      <c r="J656" s="13" t="str">
        <f t="shared" si="65"/>
        <v/>
      </c>
    </row>
    <row r="657" spans="1:10" ht="23.1" customHeight="1">
      <c r="A657" s="1" t="str">
        <f>IF(COUNTA(B657:C657)=0,"",649)</f>
        <v/>
      </c>
      <c r="B657" s="8"/>
      <c r="C657" s="9"/>
      <c r="D657" s="10" t="str">
        <f t="shared" si="60"/>
        <v/>
      </c>
      <c r="E657" s="1"/>
      <c r="F657" s="11" t="str">
        <f t="shared" si="61"/>
        <v/>
      </c>
      <c r="G657" s="11" t="str">
        <f t="shared" si="62"/>
        <v/>
      </c>
      <c r="H657" s="11" t="str">
        <f t="shared" si="63"/>
        <v/>
      </c>
      <c r="I657" s="12" t="str">
        <f t="shared" si="64"/>
        <v/>
      </c>
      <c r="J657" s="13" t="str">
        <f t="shared" si="65"/>
        <v/>
      </c>
    </row>
    <row r="658" spans="1:10" ht="23.1" customHeight="1">
      <c r="A658" s="1" t="str">
        <f>IF(COUNTA(B658:C658)=0,"",650)</f>
        <v/>
      </c>
      <c r="B658" s="8"/>
      <c r="C658" s="9"/>
      <c r="D658" s="10" t="str">
        <f t="shared" si="60"/>
        <v/>
      </c>
      <c r="E658" s="1"/>
      <c r="F658" s="11" t="str">
        <f t="shared" si="61"/>
        <v/>
      </c>
      <c r="G658" s="11" t="str">
        <f t="shared" si="62"/>
        <v/>
      </c>
      <c r="H658" s="11" t="str">
        <f t="shared" si="63"/>
        <v/>
      </c>
      <c r="I658" s="12" t="str">
        <f t="shared" si="64"/>
        <v/>
      </c>
      <c r="J658" s="13" t="str">
        <f t="shared" si="65"/>
        <v/>
      </c>
    </row>
    <row r="659" spans="1:10" ht="23.1" customHeight="1">
      <c r="A659" s="1" t="str">
        <f>IF(COUNTA(B659:C659)=0,"",651)</f>
        <v/>
      </c>
      <c r="B659" s="8"/>
      <c r="C659" s="9"/>
      <c r="D659" s="10" t="str">
        <f t="shared" si="60"/>
        <v/>
      </c>
      <c r="E659" s="1"/>
      <c r="F659" s="11" t="str">
        <f t="shared" si="61"/>
        <v/>
      </c>
      <c r="G659" s="11" t="str">
        <f t="shared" si="62"/>
        <v/>
      </c>
      <c r="H659" s="11" t="str">
        <f t="shared" si="63"/>
        <v/>
      </c>
      <c r="I659" s="12" t="str">
        <f t="shared" si="64"/>
        <v/>
      </c>
      <c r="J659" s="13" t="str">
        <f t="shared" si="65"/>
        <v/>
      </c>
    </row>
    <row r="660" spans="1:10" ht="23.1" customHeight="1">
      <c r="A660" s="1" t="str">
        <f>IF(COUNTA(B660:C660)=0,"",652)</f>
        <v/>
      </c>
      <c r="B660" s="8"/>
      <c r="C660" s="9"/>
      <c r="D660" s="10" t="str">
        <f t="shared" si="60"/>
        <v/>
      </c>
      <c r="E660" s="1"/>
      <c r="F660" s="11" t="str">
        <f t="shared" si="61"/>
        <v/>
      </c>
      <c r="G660" s="11" t="str">
        <f t="shared" si="62"/>
        <v/>
      </c>
      <c r="H660" s="11" t="str">
        <f t="shared" si="63"/>
        <v/>
      </c>
      <c r="I660" s="12" t="str">
        <f t="shared" si="64"/>
        <v/>
      </c>
      <c r="J660" s="13" t="str">
        <f t="shared" si="65"/>
        <v/>
      </c>
    </row>
    <row r="661" spans="1:10" ht="23.1" customHeight="1">
      <c r="A661" s="1" t="str">
        <f>IF(COUNTA(B661:C661)=0,"",653)</f>
        <v/>
      </c>
      <c r="B661" s="8"/>
      <c r="C661" s="9"/>
      <c r="D661" s="10" t="str">
        <f t="shared" si="60"/>
        <v/>
      </c>
      <c r="E661" s="1"/>
      <c r="F661" s="11" t="str">
        <f t="shared" si="61"/>
        <v/>
      </c>
      <c r="G661" s="11" t="str">
        <f t="shared" si="62"/>
        <v/>
      </c>
      <c r="H661" s="11" t="str">
        <f t="shared" si="63"/>
        <v/>
      </c>
      <c r="I661" s="12" t="str">
        <f t="shared" si="64"/>
        <v/>
      </c>
      <c r="J661" s="13" t="str">
        <f t="shared" si="65"/>
        <v/>
      </c>
    </row>
    <row r="662" spans="1:10" ht="23.1" customHeight="1">
      <c r="A662" s="1" t="str">
        <f>IF(COUNTA(B662:C662)=0,"",654)</f>
        <v/>
      </c>
      <c r="B662" s="8"/>
      <c r="C662" s="9"/>
      <c r="D662" s="10" t="str">
        <f t="shared" si="60"/>
        <v/>
      </c>
      <c r="E662" s="1"/>
      <c r="F662" s="11" t="str">
        <f t="shared" si="61"/>
        <v/>
      </c>
      <c r="G662" s="11" t="str">
        <f t="shared" si="62"/>
        <v/>
      </c>
      <c r="H662" s="11" t="str">
        <f t="shared" si="63"/>
        <v/>
      </c>
      <c r="I662" s="12" t="str">
        <f t="shared" si="64"/>
        <v/>
      </c>
      <c r="J662" s="13" t="str">
        <f t="shared" si="65"/>
        <v/>
      </c>
    </row>
    <row r="663" spans="1:10" ht="23.1" customHeight="1">
      <c r="A663" s="1" t="str">
        <f>IF(COUNTA(B663:C663)=0,"",655)</f>
        <v/>
      </c>
      <c r="B663" s="8"/>
      <c r="C663" s="9"/>
      <c r="D663" s="10" t="str">
        <f t="shared" si="60"/>
        <v/>
      </c>
      <c r="E663" s="1"/>
      <c r="F663" s="11" t="str">
        <f t="shared" si="61"/>
        <v/>
      </c>
      <c r="G663" s="11" t="str">
        <f t="shared" si="62"/>
        <v/>
      </c>
      <c r="H663" s="11" t="str">
        <f t="shared" si="63"/>
        <v/>
      </c>
      <c r="I663" s="12" t="str">
        <f t="shared" si="64"/>
        <v/>
      </c>
      <c r="J663" s="13" t="str">
        <f t="shared" si="65"/>
        <v/>
      </c>
    </row>
    <row r="664" spans="1:10" ht="23.1" customHeight="1">
      <c r="A664" s="1" t="str">
        <f>IF(COUNTA(B664:C664)=0,"",656)</f>
        <v/>
      </c>
      <c r="B664" s="8"/>
      <c r="C664" s="9"/>
      <c r="D664" s="10" t="str">
        <f t="shared" si="60"/>
        <v/>
      </c>
      <c r="E664" s="1"/>
      <c r="F664" s="11" t="str">
        <f t="shared" si="61"/>
        <v/>
      </c>
      <c r="G664" s="11" t="str">
        <f t="shared" si="62"/>
        <v/>
      </c>
      <c r="H664" s="11" t="str">
        <f t="shared" si="63"/>
        <v/>
      </c>
      <c r="I664" s="12" t="str">
        <f t="shared" si="64"/>
        <v/>
      </c>
      <c r="J664" s="13" t="str">
        <f t="shared" si="65"/>
        <v/>
      </c>
    </row>
    <row r="665" spans="1:10" ht="23.1" customHeight="1">
      <c r="A665" s="1" t="str">
        <f>IF(COUNTA(B665:C665)=0,"",657)</f>
        <v/>
      </c>
      <c r="B665" s="8"/>
      <c r="C665" s="9"/>
      <c r="D665" s="10" t="str">
        <f t="shared" si="60"/>
        <v/>
      </c>
      <c r="E665" s="1"/>
      <c r="F665" s="11" t="str">
        <f t="shared" si="61"/>
        <v/>
      </c>
      <c r="G665" s="11" t="str">
        <f t="shared" si="62"/>
        <v/>
      </c>
      <c r="H665" s="11" t="str">
        <f t="shared" si="63"/>
        <v/>
      </c>
      <c r="I665" s="12" t="str">
        <f t="shared" si="64"/>
        <v/>
      </c>
      <c r="J665" s="13" t="str">
        <f t="shared" si="65"/>
        <v/>
      </c>
    </row>
    <row r="666" spans="1:10" ht="23.1" customHeight="1">
      <c r="A666" s="1" t="str">
        <f>IF(COUNTA(B666:C666)=0,"",658)</f>
        <v/>
      </c>
      <c r="B666" s="8"/>
      <c r="C666" s="9"/>
      <c r="D666" s="10" t="str">
        <f t="shared" si="60"/>
        <v/>
      </c>
      <c r="E666" s="1"/>
      <c r="F666" s="11" t="str">
        <f t="shared" si="61"/>
        <v/>
      </c>
      <c r="G666" s="11" t="str">
        <f t="shared" si="62"/>
        <v/>
      </c>
      <c r="H666" s="11" t="str">
        <f t="shared" si="63"/>
        <v/>
      </c>
      <c r="I666" s="12" t="str">
        <f t="shared" si="64"/>
        <v/>
      </c>
      <c r="J666" s="13" t="str">
        <f t="shared" si="65"/>
        <v/>
      </c>
    </row>
    <row r="667" spans="1:10" ht="23.1" customHeight="1">
      <c r="A667" s="1" t="str">
        <f>IF(COUNTA(B667:C667)=0,"",659)</f>
        <v/>
      </c>
      <c r="B667" s="8"/>
      <c r="C667" s="9"/>
      <c r="D667" s="10" t="str">
        <f t="shared" si="60"/>
        <v/>
      </c>
      <c r="E667" s="1"/>
      <c r="F667" s="11" t="str">
        <f t="shared" si="61"/>
        <v/>
      </c>
      <c r="G667" s="11" t="str">
        <f t="shared" si="62"/>
        <v/>
      </c>
      <c r="H667" s="11" t="str">
        <f t="shared" si="63"/>
        <v/>
      </c>
      <c r="I667" s="12" t="str">
        <f t="shared" si="64"/>
        <v/>
      </c>
      <c r="J667" s="13" t="str">
        <f t="shared" si="65"/>
        <v/>
      </c>
    </row>
    <row r="668" spans="1:10" ht="23.1" customHeight="1">
      <c r="A668" s="1" t="str">
        <f>IF(COUNTA(B668:C668)=0,"",660)</f>
        <v/>
      </c>
      <c r="B668" s="8"/>
      <c r="C668" s="9"/>
      <c r="D668" s="10" t="str">
        <f t="shared" si="60"/>
        <v/>
      </c>
      <c r="E668" s="1"/>
      <c r="F668" s="11" t="str">
        <f t="shared" si="61"/>
        <v/>
      </c>
      <c r="G668" s="11" t="str">
        <f t="shared" si="62"/>
        <v/>
      </c>
      <c r="H668" s="11" t="str">
        <f t="shared" si="63"/>
        <v/>
      </c>
      <c r="I668" s="12" t="str">
        <f t="shared" si="64"/>
        <v/>
      </c>
      <c r="J668" s="13" t="str">
        <f t="shared" si="65"/>
        <v/>
      </c>
    </row>
    <row r="669" spans="1:10" ht="23.1" customHeight="1">
      <c r="A669" s="1" t="str">
        <f>IF(COUNTA(B669:C669)=0,"",661)</f>
        <v/>
      </c>
      <c r="B669" s="8"/>
      <c r="C669" s="9"/>
      <c r="D669" s="10" t="str">
        <f t="shared" si="60"/>
        <v/>
      </c>
      <c r="E669" s="1"/>
      <c r="F669" s="11" t="str">
        <f t="shared" si="61"/>
        <v/>
      </c>
      <c r="G669" s="11" t="str">
        <f t="shared" si="62"/>
        <v/>
      </c>
      <c r="H669" s="11" t="str">
        <f t="shared" si="63"/>
        <v/>
      </c>
      <c r="I669" s="12" t="str">
        <f t="shared" si="64"/>
        <v/>
      </c>
      <c r="J669" s="13" t="str">
        <f t="shared" si="65"/>
        <v/>
      </c>
    </row>
    <row r="670" spans="1:10" ht="23.1" customHeight="1">
      <c r="A670" s="1" t="str">
        <f>IF(COUNTA(B670:C670)=0,"",662)</f>
        <v/>
      </c>
      <c r="B670" s="8"/>
      <c r="C670" s="9"/>
      <c r="D670" s="10" t="str">
        <f t="shared" si="60"/>
        <v/>
      </c>
      <c r="E670" s="1"/>
      <c r="F670" s="11" t="str">
        <f t="shared" si="61"/>
        <v/>
      </c>
      <c r="G670" s="11" t="str">
        <f t="shared" si="62"/>
        <v/>
      </c>
      <c r="H670" s="11" t="str">
        <f t="shared" si="63"/>
        <v/>
      </c>
      <c r="I670" s="12" t="str">
        <f t="shared" si="64"/>
        <v/>
      </c>
      <c r="J670" s="13" t="str">
        <f t="shared" si="65"/>
        <v/>
      </c>
    </row>
    <row r="671" spans="1:10" ht="23.1" customHeight="1">
      <c r="A671" s="1" t="str">
        <f>IF(COUNTA(B671:C671)=0,"",663)</f>
        <v/>
      </c>
      <c r="B671" s="8"/>
      <c r="C671" s="9"/>
      <c r="D671" s="10" t="str">
        <f t="shared" si="60"/>
        <v/>
      </c>
      <c r="E671" s="1"/>
      <c r="F671" s="11" t="str">
        <f t="shared" si="61"/>
        <v/>
      </c>
      <c r="G671" s="11" t="str">
        <f t="shared" si="62"/>
        <v/>
      </c>
      <c r="H671" s="11" t="str">
        <f t="shared" si="63"/>
        <v/>
      </c>
      <c r="I671" s="12" t="str">
        <f t="shared" si="64"/>
        <v/>
      </c>
      <c r="J671" s="13" t="str">
        <f t="shared" si="65"/>
        <v/>
      </c>
    </row>
    <row r="672" spans="1:10" ht="23.1" customHeight="1">
      <c r="A672" s="1" t="str">
        <f>IF(COUNTA(B672:C672)=0,"",664)</f>
        <v/>
      </c>
      <c r="B672" s="8"/>
      <c r="C672" s="9"/>
      <c r="D672" s="10" t="str">
        <f t="shared" si="60"/>
        <v/>
      </c>
      <c r="E672" s="1"/>
      <c r="F672" s="11" t="str">
        <f t="shared" si="61"/>
        <v/>
      </c>
      <c r="G672" s="11" t="str">
        <f t="shared" si="62"/>
        <v/>
      </c>
      <c r="H672" s="11" t="str">
        <f t="shared" si="63"/>
        <v/>
      </c>
      <c r="I672" s="12" t="str">
        <f t="shared" si="64"/>
        <v/>
      </c>
      <c r="J672" s="13" t="str">
        <f t="shared" si="65"/>
        <v/>
      </c>
    </row>
    <row r="673" spans="1:10" ht="23.1" customHeight="1">
      <c r="A673" s="1" t="str">
        <f>IF(COUNTA(B673:C673)=0,"",665)</f>
        <v/>
      </c>
      <c r="B673" s="8"/>
      <c r="C673" s="9"/>
      <c r="D673" s="10" t="str">
        <f t="shared" si="60"/>
        <v/>
      </c>
      <c r="E673" s="1"/>
      <c r="F673" s="11" t="str">
        <f t="shared" si="61"/>
        <v/>
      </c>
      <c r="G673" s="11" t="str">
        <f t="shared" si="62"/>
        <v/>
      </c>
      <c r="H673" s="11" t="str">
        <f t="shared" si="63"/>
        <v/>
      </c>
      <c r="I673" s="12" t="str">
        <f t="shared" si="64"/>
        <v/>
      </c>
      <c r="J673" s="13" t="str">
        <f t="shared" si="65"/>
        <v/>
      </c>
    </row>
    <row r="674" spans="1:10" ht="23.1" customHeight="1">
      <c r="A674" s="1" t="str">
        <f>IF(COUNTA(B674:C674)=0,"",666)</f>
        <v/>
      </c>
      <c r="B674" s="8"/>
      <c r="C674" s="9"/>
      <c r="D674" s="10" t="str">
        <f t="shared" si="60"/>
        <v/>
      </c>
      <c r="E674" s="1"/>
      <c r="F674" s="11" t="str">
        <f t="shared" si="61"/>
        <v/>
      </c>
      <c r="G674" s="11" t="str">
        <f t="shared" si="62"/>
        <v/>
      </c>
      <c r="H674" s="11" t="str">
        <f t="shared" si="63"/>
        <v/>
      </c>
      <c r="I674" s="12" t="str">
        <f t="shared" si="64"/>
        <v/>
      </c>
      <c r="J674" s="13" t="str">
        <f t="shared" si="65"/>
        <v/>
      </c>
    </row>
    <row r="675" spans="1:10" ht="23.1" customHeight="1">
      <c r="A675" s="1" t="str">
        <f>IF(COUNTA(B675:C675)=0,"",667)</f>
        <v/>
      </c>
      <c r="B675" s="8"/>
      <c r="C675" s="9"/>
      <c r="D675" s="10" t="str">
        <f t="shared" si="60"/>
        <v/>
      </c>
      <c r="E675" s="1"/>
      <c r="F675" s="11" t="str">
        <f t="shared" si="61"/>
        <v/>
      </c>
      <c r="G675" s="11" t="str">
        <f t="shared" si="62"/>
        <v/>
      </c>
      <c r="H675" s="11" t="str">
        <f t="shared" si="63"/>
        <v/>
      </c>
      <c r="I675" s="12" t="str">
        <f t="shared" si="64"/>
        <v/>
      </c>
      <c r="J675" s="13" t="str">
        <f t="shared" si="65"/>
        <v/>
      </c>
    </row>
    <row r="676" spans="1:10" ht="23.1" customHeight="1">
      <c r="A676" s="1" t="str">
        <f>IF(COUNTA(B676:C676)=0,"",668)</f>
        <v/>
      </c>
      <c r="B676" s="8"/>
      <c r="C676" s="9"/>
      <c r="D676" s="10" t="str">
        <f t="shared" si="60"/>
        <v/>
      </c>
      <c r="E676" s="1"/>
      <c r="F676" s="11" t="str">
        <f t="shared" si="61"/>
        <v/>
      </c>
      <c r="G676" s="11" t="str">
        <f t="shared" si="62"/>
        <v/>
      </c>
      <c r="H676" s="11" t="str">
        <f t="shared" si="63"/>
        <v/>
      </c>
      <c r="I676" s="12" t="str">
        <f t="shared" si="64"/>
        <v/>
      </c>
      <c r="J676" s="13" t="str">
        <f t="shared" si="65"/>
        <v/>
      </c>
    </row>
    <row r="677" spans="1:10" ht="23.1" customHeight="1">
      <c r="A677" s="1" t="str">
        <f>IF(COUNTA(B677:C677)=0,"",669)</f>
        <v/>
      </c>
      <c r="B677" s="8"/>
      <c r="C677" s="9"/>
      <c r="D677" s="10" t="str">
        <f t="shared" si="60"/>
        <v/>
      </c>
      <c r="E677" s="1"/>
      <c r="F677" s="11" t="str">
        <f t="shared" si="61"/>
        <v/>
      </c>
      <c r="G677" s="11" t="str">
        <f t="shared" si="62"/>
        <v/>
      </c>
      <c r="H677" s="11" t="str">
        <f t="shared" si="63"/>
        <v/>
      </c>
      <c r="I677" s="12" t="str">
        <f t="shared" si="64"/>
        <v/>
      </c>
      <c r="J677" s="13" t="str">
        <f t="shared" si="65"/>
        <v/>
      </c>
    </row>
    <row r="678" spans="1:10" ht="23.1" customHeight="1">
      <c r="A678" s="1" t="str">
        <f>IF(COUNTA(B678:C678)=0,"",670)</f>
        <v/>
      </c>
      <c r="B678" s="8"/>
      <c r="C678" s="9"/>
      <c r="D678" s="10" t="str">
        <f t="shared" si="60"/>
        <v/>
      </c>
      <c r="E678" s="1"/>
      <c r="F678" s="11" t="str">
        <f t="shared" si="61"/>
        <v/>
      </c>
      <c r="G678" s="11" t="str">
        <f t="shared" si="62"/>
        <v/>
      </c>
      <c r="H678" s="11" t="str">
        <f t="shared" si="63"/>
        <v/>
      </c>
      <c r="I678" s="12" t="str">
        <f t="shared" si="64"/>
        <v/>
      </c>
      <c r="J678" s="13" t="str">
        <f t="shared" si="65"/>
        <v/>
      </c>
    </row>
    <row r="679" spans="1:10" ht="23.1" customHeight="1">
      <c r="A679" s="1" t="str">
        <f>IF(COUNTA(B679:C679)=0,"",671)</f>
        <v/>
      </c>
      <c r="B679" s="8"/>
      <c r="C679" s="9"/>
      <c r="D679" s="10" t="str">
        <f t="shared" si="60"/>
        <v/>
      </c>
      <c r="E679" s="1"/>
      <c r="F679" s="11" t="str">
        <f t="shared" si="61"/>
        <v/>
      </c>
      <c r="G679" s="11" t="str">
        <f t="shared" si="62"/>
        <v/>
      </c>
      <c r="H679" s="11" t="str">
        <f t="shared" si="63"/>
        <v/>
      </c>
      <c r="I679" s="12" t="str">
        <f t="shared" si="64"/>
        <v/>
      </c>
      <c r="J679" s="13" t="str">
        <f t="shared" si="65"/>
        <v/>
      </c>
    </row>
    <row r="680" spans="1:10" ht="23.1" customHeight="1">
      <c r="A680" s="1" t="str">
        <f>IF(COUNTA(B680:C680)=0,"",672)</f>
        <v/>
      </c>
      <c r="B680" s="8"/>
      <c r="C680" s="9"/>
      <c r="D680" s="10" t="str">
        <f t="shared" si="60"/>
        <v/>
      </c>
      <c r="E680" s="1"/>
      <c r="F680" s="11" t="str">
        <f t="shared" si="61"/>
        <v/>
      </c>
      <c r="G680" s="11" t="str">
        <f t="shared" si="62"/>
        <v/>
      </c>
      <c r="H680" s="11" t="str">
        <f t="shared" si="63"/>
        <v/>
      </c>
      <c r="I680" s="12" t="str">
        <f t="shared" si="64"/>
        <v/>
      </c>
      <c r="J680" s="13" t="str">
        <f t="shared" si="65"/>
        <v/>
      </c>
    </row>
    <row r="681" spans="1:10" ht="23.1" customHeight="1">
      <c r="A681" s="1" t="str">
        <f>IF(COUNTA(B681:C681)=0,"",673)</f>
        <v/>
      </c>
      <c r="B681" s="8"/>
      <c r="C681" s="9"/>
      <c r="D681" s="10" t="str">
        <f t="shared" si="60"/>
        <v/>
      </c>
      <c r="E681" s="1"/>
      <c r="F681" s="11" t="str">
        <f t="shared" si="61"/>
        <v/>
      </c>
      <c r="G681" s="11" t="str">
        <f t="shared" si="62"/>
        <v/>
      </c>
      <c r="H681" s="11" t="str">
        <f t="shared" si="63"/>
        <v/>
      </c>
      <c r="I681" s="12" t="str">
        <f t="shared" si="64"/>
        <v/>
      </c>
      <c r="J681" s="13" t="str">
        <f t="shared" si="65"/>
        <v/>
      </c>
    </row>
    <row r="682" spans="1:10" ht="23.1" customHeight="1">
      <c r="A682" s="1" t="str">
        <f>IF(COUNTA(B682:C682)=0,"",674)</f>
        <v/>
      </c>
      <c r="B682" s="8"/>
      <c r="C682" s="9"/>
      <c r="D682" s="10" t="str">
        <f t="shared" si="60"/>
        <v/>
      </c>
      <c r="E682" s="1"/>
      <c r="F682" s="11" t="str">
        <f t="shared" si="61"/>
        <v/>
      </c>
      <c r="G682" s="11" t="str">
        <f t="shared" si="62"/>
        <v/>
      </c>
      <c r="H682" s="11" t="str">
        <f t="shared" si="63"/>
        <v/>
      </c>
      <c r="I682" s="12" t="str">
        <f t="shared" si="64"/>
        <v/>
      </c>
      <c r="J682" s="13" t="str">
        <f t="shared" si="65"/>
        <v/>
      </c>
    </row>
    <row r="683" spans="1:10" ht="23.1" customHeight="1">
      <c r="A683" s="1" t="str">
        <f>IF(COUNTA(B683:C683)=0,"",675)</f>
        <v/>
      </c>
      <c r="B683" s="8"/>
      <c r="C683" s="9"/>
      <c r="D683" s="10" t="str">
        <f t="shared" si="60"/>
        <v/>
      </c>
      <c r="E683" s="1"/>
      <c r="F683" s="11" t="str">
        <f t="shared" si="61"/>
        <v/>
      </c>
      <c r="G683" s="11" t="str">
        <f t="shared" si="62"/>
        <v/>
      </c>
      <c r="H683" s="11" t="str">
        <f t="shared" si="63"/>
        <v/>
      </c>
      <c r="I683" s="12" t="str">
        <f t="shared" si="64"/>
        <v/>
      </c>
      <c r="J683" s="13" t="str">
        <f t="shared" si="65"/>
        <v/>
      </c>
    </row>
    <row r="684" spans="1:10" ht="23.1" customHeight="1">
      <c r="A684" s="1" t="str">
        <f>IF(COUNTA(B684:C684)=0,"",676)</f>
        <v/>
      </c>
      <c r="B684" s="8"/>
      <c r="C684" s="9"/>
      <c r="D684" s="10" t="str">
        <f t="shared" si="60"/>
        <v/>
      </c>
      <c r="E684" s="1"/>
      <c r="F684" s="11" t="str">
        <f t="shared" si="61"/>
        <v/>
      </c>
      <c r="G684" s="11" t="str">
        <f t="shared" si="62"/>
        <v/>
      </c>
      <c r="H684" s="11" t="str">
        <f t="shared" si="63"/>
        <v/>
      </c>
      <c r="I684" s="12" t="str">
        <f t="shared" si="64"/>
        <v/>
      </c>
      <c r="J684" s="13" t="str">
        <f t="shared" si="65"/>
        <v/>
      </c>
    </row>
    <row r="685" spans="1:10" ht="23.1" customHeight="1">
      <c r="A685" s="1" t="str">
        <f>IF(COUNTA(B685:C685)=0,"",677)</f>
        <v/>
      </c>
      <c r="B685" s="8"/>
      <c r="C685" s="9"/>
      <c r="D685" s="10" t="str">
        <f t="shared" si="60"/>
        <v/>
      </c>
      <c r="E685" s="1"/>
      <c r="F685" s="11" t="str">
        <f t="shared" si="61"/>
        <v/>
      </c>
      <c r="G685" s="11" t="str">
        <f t="shared" si="62"/>
        <v/>
      </c>
      <c r="H685" s="11" t="str">
        <f t="shared" si="63"/>
        <v/>
      </c>
      <c r="I685" s="12" t="str">
        <f t="shared" si="64"/>
        <v/>
      </c>
      <c r="J685" s="13" t="str">
        <f t="shared" si="65"/>
        <v/>
      </c>
    </row>
    <row r="686" spans="1:10" ht="23.1" customHeight="1">
      <c r="A686" s="1" t="str">
        <f>IF(COUNTA(B686:C686)=0,"",678)</f>
        <v/>
      </c>
      <c r="B686" s="8"/>
      <c r="C686" s="9"/>
      <c r="D686" s="10" t="str">
        <f t="shared" si="60"/>
        <v/>
      </c>
      <c r="E686" s="1"/>
      <c r="F686" s="11" t="str">
        <f t="shared" si="61"/>
        <v/>
      </c>
      <c r="G686" s="11" t="str">
        <f t="shared" si="62"/>
        <v/>
      </c>
      <c r="H686" s="11" t="str">
        <f t="shared" si="63"/>
        <v/>
      </c>
      <c r="I686" s="12" t="str">
        <f t="shared" si="64"/>
        <v/>
      </c>
      <c r="J686" s="13" t="str">
        <f t="shared" si="65"/>
        <v/>
      </c>
    </row>
    <row r="687" spans="1:10" ht="23.1" customHeight="1">
      <c r="A687" s="1" t="str">
        <f>IF(COUNTA(B687:C687)=0,"",679)</f>
        <v/>
      </c>
      <c r="B687" s="8"/>
      <c r="C687" s="9"/>
      <c r="D687" s="10" t="str">
        <f t="shared" si="60"/>
        <v/>
      </c>
      <c r="E687" s="1"/>
      <c r="F687" s="11" t="str">
        <f t="shared" si="61"/>
        <v/>
      </c>
      <c r="G687" s="11" t="str">
        <f t="shared" si="62"/>
        <v/>
      </c>
      <c r="H687" s="11" t="str">
        <f t="shared" si="63"/>
        <v/>
      </c>
      <c r="I687" s="12" t="str">
        <f t="shared" si="64"/>
        <v/>
      </c>
      <c r="J687" s="13" t="str">
        <f t="shared" si="65"/>
        <v/>
      </c>
    </row>
    <row r="688" spans="1:10" ht="23.1" customHeight="1">
      <c r="A688" s="1" t="str">
        <f>IF(COUNTA(B688:C688)=0,"",680)</f>
        <v/>
      </c>
      <c r="B688" s="8"/>
      <c r="C688" s="9"/>
      <c r="D688" s="10" t="str">
        <f t="shared" si="60"/>
        <v/>
      </c>
      <c r="E688" s="1"/>
      <c r="F688" s="11" t="str">
        <f t="shared" si="61"/>
        <v/>
      </c>
      <c r="G688" s="11" t="str">
        <f t="shared" si="62"/>
        <v/>
      </c>
      <c r="H688" s="11" t="str">
        <f t="shared" si="63"/>
        <v/>
      </c>
      <c r="I688" s="12" t="str">
        <f t="shared" si="64"/>
        <v/>
      </c>
      <c r="J688" s="13" t="str">
        <f t="shared" si="65"/>
        <v/>
      </c>
    </row>
    <row r="689" spans="1:10" ht="23.1" customHeight="1">
      <c r="A689" s="1" t="str">
        <f>IF(COUNTA(B689:C689)=0,"",681)</f>
        <v/>
      </c>
      <c r="B689" s="8"/>
      <c r="C689" s="9"/>
      <c r="D689" s="10" t="str">
        <f t="shared" si="60"/>
        <v/>
      </c>
      <c r="E689" s="1"/>
      <c r="F689" s="11" t="str">
        <f t="shared" si="61"/>
        <v/>
      </c>
      <c r="G689" s="11" t="str">
        <f t="shared" si="62"/>
        <v/>
      </c>
      <c r="H689" s="11" t="str">
        <f t="shared" si="63"/>
        <v/>
      </c>
      <c r="I689" s="12" t="str">
        <f t="shared" si="64"/>
        <v/>
      </c>
      <c r="J689" s="13" t="str">
        <f t="shared" si="65"/>
        <v/>
      </c>
    </row>
    <row r="690" spans="1:10" ht="23.1" customHeight="1">
      <c r="A690" s="1" t="str">
        <f>IF(COUNTA(B690:C690)=0,"",682)</f>
        <v/>
      </c>
      <c r="B690" s="8"/>
      <c r="C690" s="9"/>
      <c r="D690" s="10" t="str">
        <f t="shared" si="60"/>
        <v/>
      </c>
      <c r="E690" s="1"/>
      <c r="F690" s="11" t="str">
        <f t="shared" si="61"/>
        <v/>
      </c>
      <c r="G690" s="11" t="str">
        <f t="shared" si="62"/>
        <v/>
      </c>
      <c r="H690" s="11" t="str">
        <f t="shared" si="63"/>
        <v/>
      </c>
      <c r="I690" s="12" t="str">
        <f t="shared" si="64"/>
        <v/>
      </c>
      <c r="J690" s="13" t="str">
        <f t="shared" si="65"/>
        <v/>
      </c>
    </row>
    <row r="691" spans="1:10" ht="23.1" customHeight="1">
      <c r="A691" s="1" t="str">
        <f>IF(COUNTA(B691:C691)=0,"",683)</f>
        <v/>
      </c>
      <c r="B691" s="8"/>
      <c r="C691" s="9"/>
      <c r="D691" s="10" t="str">
        <f t="shared" si="60"/>
        <v/>
      </c>
      <c r="E691" s="1"/>
      <c r="F691" s="11" t="str">
        <f t="shared" si="61"/>
        <v/>
      </c>
      <c r="G691" s="11" t="str">
        <f t="shared" si="62"/>
        <v/>
      </c>
      <c r="H691" s="11" t="str">
        <f t="shared" si="63"/>
        <v/>
      </c>
      <c r="I691" s="12" t="str">
        <f t="shared" si="64"/>
        <v/>
      </c>
      <c r="J691" s="13" t="str">
        <f t="shared" si="65"/>
        <v/>
      </c>
    </row>
    <row r="692" spans="1:10" ht="23.1" customHeight="1">
      <c r="A692" s="1" t="str">
        <f>IF(COUNTA(B692:C692)=0,"",684)</f>
        <v/>
      </c>
      <c r="B692" s="8"/>
      <c r="C692" s="9"/>
      <c r="D692" s="10" t="str">
        <f t="shared" si="60"/>
        <v/>
      </c>
      <c r="E692" s="1"/>
      <c r="F692" s="11" t="str">
        <f t="shared" si="61"/>
        <v/>
      </c>
      <c r="G692" s="11" t="str">
        <f t="shared" si="62"/>
        <v/>
      </c>
      <c r="H692" s="11" t="str">
        <f t="shared" si="63"/>
        <v/>
      </c>
      <c r="I692" s="12" t="str">
        <f t="shared" si="64"/>
        <v/>
      </c>
      <c r="J692" s="13" t="str">
        <f t="shared" si="65"/>
        <v/>
      </c>
    </row>
    <row r="693" spans="1:10" ht="23.1" customHeight="1">
      <c r="A693" s="1" t="str">
        <f>IF(COUNTA(B693:C693)=0,"",685)</f>
        <v/>
      </c>
      <c r="B693" s="8"/>
      <c r="C693" s="9"/>
      <c r="D693" s="10" t="str">
        <f t="shared" si="60"/>
        <v/>
      </c>
      <c r="E693" s="1"/>
      <c r="F693" s="11" t="str">
        <f t="shared" si="61"/>
        <v/>
      </c>
      <c r="G693" s="11" t="str">
        <f t="shared" si="62"/>
        <v/>
      </c>
      <c r="H693" s="11" t="str">
        <f t="shared" si="63"/>
        <v/>
      </c>
      <c r="I693" s="12" t="str">
        <f t="shared" si="64"/>
        <v/>
      </c>
      <c r="J693" s="13" t="str">
        <f t="shared" si="65"/>
        <v/>
      </c>
    </row>
    <row r="694" spans="1:10" ht="23.1" customHeight="1">
      <c r="A694" s="1" t="str">
        <f>IF(COUNTA(B694:C694)=0,"",686)</f>
        <v/>
      </c>
      <c r="B694" s="8"/>
      <c r="C694" s="9"/>
      <c r="D694" s="10" t="str">
        <f t="shared" si="60"/>
        <v/>
      </c>
      <c r="E694" s="1"/>
      <c r="F694" s="11" t="str">
        <f t="shared" si="61"/>
        <v/>
      </c>
      <c r="G694" s="11" t="str">
        <f t="shared" si="62"/>
        <v/>
      </c>
      <c r="H694" s="11" t="str">
        <f t="shared" si="63"/>
        <v/>
      </c>
      <c r="I694" s="12" t="str">
        <f t="shared" si="64"/>
        <v/>
      </c>
      <c r="J694" s="13" t="str">
        <f t="shared" si="65"/>
        <v/>
      </c>
    </row>
    <row r="695" spans="1:10" ht="23.1" customHeight="1">
      <c r="A695" s="1" t="str">
        <f>IF(COUNTA(B695:C695)=0,"",687)</f>
        <v/>
      </c>
      <c r="B695" s="8"/>
      <c r="C695" s="9"/>
      <c r="D695" s="10" t="str">
        <f t="shared" si="60"/>
        <v/>
      </c>
      <c r="E695" s="1"/>
      <c r="F695" s="11" t="str">
        <f t="shared" si="61"/>
        <v/>
      </c>
      <c r="G695" s="11" t="str">
        <f t="shared" si="62"/>
        <v/>
      </c>
      <c r="H695" s="11" t="str">
        <f t="shared" si="63"/>
        <v/>
      </c>
      <c r="I695" s="12" t="str">
        <f t="shared" si="64"/>
        <v/>
      </c>
      <c r="J695" s="13" t="str">
        <f t="shared" si="65"/>
        <v/>
      </c>
    </row>
    <row r="696" spans="1:10" ht="23.1" customHeight="1">
      <c r="A696" s="1" t="str">
        <f>IF(COUNTA(B696:C696)=0,"",688)</f>
        <v/>
      </c>
      <c r="B696" s="8"/>
      <c r="C696" s="9"/>
      <c r="D696" s="10" t="str">
        <f t="shared" si="60"/>
        <v/>
      </c>
      <c r="E696" s="1"/>
      <c r="F696" s="11" t="str">
        <f t="shared" si="61"/>
        <v/>
      </c>
      <c r="G696" s="11" t="str">
        <f t="shared" si="62"/>
        <v/>
      </c>
      <c r="H696" s="11" t="str">
        <f t="shared" si="63"/>
        <v/>
      </c>
      <c r="I696" s="12" t="str">
        <f t="shared" si="64"/>
        <v/>
      </c>
      <c r="J696" s="13" t="str">
        <f t="shared" si="65"/>
        <v/>
      </c>
    </row>
    <row r="697" spans="1:10" ht="23.1" customHeight="1">
      <c r="A697" s="1" t="str">
        <f>IF(COUNTA(B697:C697)=0,"",689)</f>
        <v/>
      </c>
      <c r="B697" s="8"/>
      <c r="C697" s="9"/>
      <c r="D697" s="10" t="str">
        <f t="shared" si="60"/>
        <v/>
      </c>
      <c r="E697" s="1"/>
      <c r="F697" s="11" t="str">
        <f t="shared" si="61"/>
        <v/>
      </c>
      <c r="G697" s="11" t="str">
        <f t="shared" si="62"/>
        <v/>
      </c>
      <c r="H697" s="11" t="str">
        <f t="shared" si="63"/>
        <v/>
      </c>
      <c r="I697" s="12" t="str">
        <f t="shared" si="64"/>
        <v/>
      </c>
      <c r="J697" s="13" t="str">
        <f t="shared" si="65"/>
        <v/>
      </c>
    </row>
    <row r="698" spans="1:10" ht="23.1" customHeight="1">
      <c r="A698" s="1" t="str">
        <f>IF(COUNTA(B698:C698)=0,"",690)</f>
        <v/>
      </c>
      <c r="B698" s="8"/>
      <c r="C698" s="9"/>
      <c r="D698" s="10" t="str">
        <f t="shared" si="60"/>
        <v/>
      </c>
      <c r="E698" s="1"/>
      <c r="F698" s="11" t="str">
        <f t="shared" si="61"/>
        <v/>
      </c>
      <c r="G698" s="11" t="str">
        <f t="shared" si="62"/>
        <v/>
      </c>
      <c r="H698" s="11" t="str">
        <f t="shared" si="63"/>
        <v/>
      </c>
      <c r="I698" s="12" t="str">
        <f t="shared" si="64"/>
        <v/>
      </c>
      <c r="J698" s="13" t="str">
        <f t="shared" si="65"/>
        <v/>
      </c>
    </row>
    <row r="699" spans="1:10" ht="23.1" customHeight="1">
      <c r="A699" s="1" t="str">
        <f>IF(COUNTA(B699:C699)=0,"",691)</f>
        <v/>
      </c>
      <c r="B699" s="8"/>
      <c r="C699" s="9"/>
      <c r="D699" s="10" t="str">
        <f t="shared" si="60"/>
        <v/>
      </c>
      <c r="E699" s="1"/>
      <c r="F699" s="11" t="str">
        <f t="shared" si="61"/>
        <v/>
      </c>
      <c r="G699" s="11" t="str">
        <f t="shared" si="62"/>
        <v/>
      </c>
      <c r="H699" s="11" t="str">
        <f t="shared" si="63"/>
        <v/>
      </c>
      <c r="I699" s="12" t="str">
        <f t="shared" si="64"/>
        <v/>
      </c>
      <c r="J699" s="13" t="str">
        <f t="shared" si="65"/>
        <v/>
      </c>
    </row>
    <row r="700" spans="1:10" ht="23.1" customHeight="1">
      <c r="A700" s="1" t="str">
        <f>IF(COUNTA(B700:C700)=0,"",692)</f>
        <v/>
      </c>
      <c r="B700" s="8"/>
      <c r="C700" s="9"/>
      <c r="D700" s="10" t="str">
        <f t="shared" si="60"/>
        <v/>
      </c>
      <c r="E700" s="1"/>
      <c r="F700" s="11" t="str">
        <f t="shared" si="61"/>
        <v/>
      </c>
      <c r="G700" s="11" t="str">
        <f t="shared" si="62"/>
        <v/>
      </c>
      <c r="H700" s="11" t="str">
        <f t="shared" si="63"/>
        <v/>
      </c>
      <c r="I700" s="12" t="str">
        <f t="shared" si="64"/>
        <v/>
      </c>
      <c r="J700" s="13" t="str">
        <f t="shared" si="65"/>
        <v/>
      </c>
    </row>
    <row r="701" spans="1:10" ht="23.1" customHeight="1">
      <c r="A701" s="1" t="str">
        <f>IF(COUNTA(B701:C701)=0,"",693)</f>
        <v/>
      </c>
      <c r="B701" s="8"/>
      <c r="C701" s="9"/>
      <c r="D701" s="10" t="str">
        <f t="shared" si="60"/>
        <v/>
      </c>
      <c r="E701" s="1"/>
      <c r="F701" s="11" t="str">
        <f t="shared" si="61"/>
        <v/>
      </c>
      <c r="G701" s="11" t="str">
        <f t="shared" si="62"/>
        <v/>
      </c>
      <c r="H701" s="11" t="str">
        <f t="shared" si="63"/>
        <v/>
      </c>
      <c r="I701" s="12" t="str">
        <f t="shared" si="64"/>
        <v/>
      </c>
      <c r="J701" s="13" t="str">
        <f t="shared" si="65"/>
        <v/>
      </c>
    </row>
    <row r="702" spans="1:10" ht="23.1" customHeight="1">
      <c r="A702" s="1" t="str">
        <f>IF(COUNTA(B702:C702)=0,"",694)</f>
        <v/>
      </c>
      <c r="B702" s="8"/>
      <c r="C702" s="9"/>
      <c r="D702" s="10" t="str">
        <f t="shared" si="60"/>
        <v/>
      </c>
      <c r="E702" s="1"/>
      <c r="F702" s="11" t="str">
        <f t="shared" si="61"/>
        <v/>
      </c>
      <c r="G702" s="11" t="str">
        <f t="shared" si="62"/>
        <v/>
      </c>
      <c r="H702" s="11" t="str">
        <f t="shared" si="63"/>
        <v/>
      </c>
      <c r="I702" s="12" t="str">
        <f t="shared" si="64"/>
        <v/>
      </c>
      <c r="J702" s="13" t="str">
        <f t="shared" si="65"/>
        <v/>
      </c>
    </row>
    <row r="703" spans="1:10" ht="23.1" customHeight="1">
      <c r="A703" s="1" t="str">
        <f>IF(COUNTA(B703:C703)=0,"",695)</f>
        <v/>
      </c>
      <c r="B703" s="8"/>
      <c r="C703" s="9"/>
      <c r="D703" s="10" t="str">
        <f t="shared" si="60"/>
        <v/>
      </c>
      <c r="E703" s="1"/>
      <c r="F703" s="11" t="str">
        <f t="shared" si="61"/>
        <v/>
      </c>
      <c r="G703" s="11" t="str">
        <f t="shared" si="62"/>
        <v/>
      </c>
      <c r="H703" s="11" t="str">
        <f t="shared" si="63"/>
        <v/>
      </c>
      <c r="I703" s="12" t="str">
        <f t="shared" si="64"/>
        <v/>
      </c>
      <c r="J703" s="13" t="str">
        <f t="shared" si="65"/>
        <v/>
      </c>
    </row>
    <row r="704" spans="1:10" ht="23.1" customHeight="1">
      <c r="A704" s="1" t="str">
        <f>IF(COUNTA(B704:C704)=0,"",696)</f>
        <v/>
      </c>
      <c r="B704" s="8"/>
      <c r="C704" s="9"/>
      <c r="D704" s="10" t="str">
        <f t="shared" si="60"/>
        <v/>
      </c>
      <c r="E704" s="1"/>
      <c r="F704" s="11" t="str">
        <f t="shared" si="61"/>
        <v/>
      </c>
      <c r="G704" s="11" t="str">
        <f t="shared" si="62"/>
        <v/>
      </c>
      <c r="H704" s="11" t="str">
        <f t="shared" si="63"/>
        <v/>
      </c>
      <c r="I704" s="12" t="str">
        <f t="shared" si="64"/>
        <v/>
      </c>
      <c r="J704" s="13" t="str">
        <f t="shared" si="65"/>
        <v/>
      </c>
    </row>
    <row r="705" spans="1:10" ht="23.1" customHeight="1">
      <c r="A705" s="1" t="str">
        <f>IF(COUNTA(B705:C705)=0,"",697)</f>
        <v/>
      </c>
      <c r="B705" s="8"/>
      <c r="C705" s="9"/>
      <c r="D705" s="10" t="str">
        <f t="shared" si="60"/>
        <v/>
      </c>
      <c r="E705" s="1"/>
      <c r="F705" s="11" t="str">
        <f t="shared" si="61"/>
        <v/>
      </c>
      <c r="G705" s="11" t="str">
        <f t="shared" si="62"/>
        <v/>
      </c>
      <c r="H705" s="11" t="str">
        <f t="shared" si="63"/>
        <v/>
      </c>
      <c r="I705" s="12" t="str">
        <f t="shared" si="64"/>
        <v/>
      </c>
      <c r="J705" s="13" t="str">
        <f t="shared" si="65"/>
        <v/>
      </c>
    </row>
    <row r="706" spans="1:10" ht="23.1" customHeight="1">
      <c r="A706" s="1" t="str">
        <f>IF(COUNTA(B706:C706)=0,"",698)</f>
        <v/>
      </c>
      <c r="B706" s="8"/>
      <c r="C706" s="9"/>
      <c r="D706" s="10" t="str">
        <f t="shared" si="60"/>
        <v/>
      </c>
      <c r="E706" s="1"/>
      <c r="F706" s="11" t="str">
        <f t="shared" si="61"/>
        <v/>
      </c>
      <c r="G706" s="11" t="str">
        <f t="shared" si="62"/>
        <v/>
      </c>
      <c r="H706" s="11" t="str">
        <f t="shared" si="63"/>
        <v/>
      </c>
      <c r="I706" s="12" t="str">
        <f t="shared" si="64"/>
        <v/>
      </c>
      <c r="J706" s="13" t="str">
        <f t="shared" si="65"/>
        <v/>
      </c>
    </row>
    <row r="707" spans="1:10" ht="23.1" customHeight="1">
      <c r="A707" s="1" t="str">
        <f>IF(COUNTA(B707:C707)=0,"",699)</f>
        <v/>
      </c>
      <c r="B707" s="8"/>
      <c r="C707" s="9"/>
      <c r="D707" s="10" t="str">
        <f t="shared" si="60"/>
        <v/>
      </c>
      <c r="E707" s="1"/>
      <c r="F707" s="11" t="str">
        <f t="shared" si="61"/>
        <v/>
      </c>
      <c r="G707" s="11" t="str">
        <f t="shared" si="62"/>
        <v/>
      </c>
      <c r="H707" s="11" t="str">
        <f t="shared" si="63"/>
        <v/>
      </c>
      <c r="I707" s="12" t="str">
        <f t="shared" si="64"/>
        <v/>
      </c>
      <c r="J707" s="13" t="str">
        <f t="shared" si="65"/>
        <v/>
      </c>
    </row>
    <row r="708" spans="1:10" ht="23.1" customHeight="1">
      <c r="A708" s="1" t="str">
        <f>IF(COUNTA(B708:C708)=0,"",700)</f>
        <v/>
      </c>
      <c r="B708" s="8"/>
      <c r="C708" s="9"/>
      <c r="D708" s="10" t="str">
        <f t="shared" si="60"/>
        <v/>
      </c>
      <c r="E708" s="1"/>
      <c r="F708" s="11" t="str">
        <f t="shared" si="61"/>
        <v/>
      </c>
      <c r="G708" s="11" t="str">
        <f t="shared" si="62"/>
        <v/>
      </c>
      <c r="H708" s="11" t="str">
        <f t="shared" si="63"/>
        <v/>
      </c>
      <c r="I708" s="12" t="str">
        <f t="shared" si="64"/>
        <v/>
      </c>
      <c r="J708" s="13" t="str">
        <f t="shared" si="65"/>
        <v/>
      </c>
    </row>
    <row r="709" spans="1:10" ht="23.1" customHeight="1">
      <c r="A709" s="1" t="str">
        <f>IF(COUNTA(B709:C709)=0,"",701)</f>
        <v/>
      </c>
      <c r="B709" s="8"/>
      <c r="C709" s="9"/>
      <c r="D709" s="10" t="str">
        <f t="shared" si="60"/>
        <v/>
      </c>
      <c r="E709" s="1"/>
      <c r="F709" s="11" t="str">
        <f t="shared" si="61"/>
        <v/>
      </c>
      <c r="G709" s="11" t="str">
        <f t="shared" si="62"/>
        <v/>
      </c>
      <c r="H709" s="11" t="str">
        <f t="shared" si="63"/>
        <v/>
      </c>
      <c r="I709" s="12" t="str">
        <f t="shared" si="64"/>
        <v/>
      </c>
      <c r="J709" s="13" t="str">
        <f t="shared" si="65"/>
        <v/>
      </c>
    </row>
    <row r="710" spans="1:10" ht="23.1" customHeight="1">
      <c r="A710" s="1" t="str">
        <f>IF(COUNTA(B710:C710)=0,"",702)</f>
        <v/>
      </c>
      <c r="B710" s="8"/>
      <c r="C710" s="9"/>
      <c r="D710" s="10" t="str">
        <f t="shared" si="60"/>
        <v/>
      </c>
      <c r="E710" s="1"/>
      <c r="F710" s="11" t="str">
        <f t="shared" si="61"/>
        <v/>
      </c>
      <c r="G710" s="11" t="str">
        <f t="shared" si="62"/>
        <v/>
      </c>
      <c r="H710" s="11" t="str">
        <f t="shared" si="63"/>
        <v/>
      </c>
      <c r="I710" s="12" t="str">
        <f t="shared" si="64"/>
        <v/>
      </c>
      <c r="J710" s="13" t="str">
        <f t="shared" si="65"/>
        <v/>
      </c>
    </row>
    <row r="711" spans="1:10" ht="23.1" customHeight="1">
      <c r="A711" s="1" t="str">
        <f>IF(COUNTA(B711:C711)=0,"",703)</f>
        <v/>
      </c>
      <c r="B711" s="8"/>
      <c r="C711" s="9"/>
      <c r="D711" s="10" t="str">
        <f t="shared" si="60"/>
        <v/>
      </c>
      <c r="E711" s="1"/>
      <c r="F711" s="11" t="str">
        <f t="shared" si="61"/>
        <v/>
      </c>
      <c r="G711" s="11" t="str">
        <f t="shared" si="62"/>
        <v/>
      </c>
      <c r="H711" s="11" t="str">
        <f t="shared" si="63"/>
        <v/>
      </c>
      <c r="I711" s="12" t="str">
        <f t="shared" si="64"/>
        <v/>
      </c>
      <c r="J711" s="13" t="str">
        <f t="shared" si="65"/>
        <v/>
      </c>
    </row>
    <row r="712" spans="1:10" ht="23.1" customHeight="1">
      <c r="A712" s="1" t="str">
        <f>IF(COUNTA(B712:C712)=0,"",704)</f>
        <v/>
      </c>
      <c r="B712" s="8"/>
      <c r="C712" s="9"/>
      <c r="D712" s="10" t="str">
        <f t="shared" si="60"/>
        <v/>
      </c>
      <c r="E712" s="1"/>
      <c r="F712" s="11" t="str">
        <f t="shared" si="61"/>
        <v/>
      </c>
      <c r="G712" s="11" t="str">
        <f t="shared" si="62"/>
        <v/>
      </c>
      <c r="H712" s="11" t="str">
        <f t="shared" si="63"/>
        <v/>
      </c>
      <c r="I712" s="12" t="str">
        <f t="shared" si="64"/>
        <v/>
      </c>
      <c r="J712" s="13" t="str">
        <f t="shared" si="65"/>
        <v/>
      </c>
    </row>
    <row r="713" spans="1:10" ht="23.1" customHeight="1">
      <c r="A713" s="1" t="str">
        <f>IF(COUNTA(B713:C713)=0,"",705)</f>
        <v/>
      </c>
      <c r="B713" s="8"/>
      <c r="C713" s="9"/>
      <c r="D713" s="10" t="str">
        <f t="shared" ref="D713:D776" si="66">IF(NOT(ISNUMBER(C713)),"",ROUND(C713*30%,2))</f>
        <v/>
      </c>
      <c r="E713" s="1"/>
      <c r="F713" s="11" t="str">
        <f t="shared" ref="F713:F776" si="67">IF(NOT(ISNUMBER(C713)),"",ROUND(H713*30%,2))</f>
        <v/>
      </c>
      <c r="G713" s="11" t="str">
        <f t="shared" ref="G713:G776" si="68">IF(NOT(ISNUMBER(C713)),"",ROUND(H713-F713,2))</f>
        <v/>
      </c>
      <c r="H713" s="11" t="str">
        <f t="shared" ref="H713:H776" si="69">IF(NOT(ISNUMBER(C713)),"",ROUND(C713-D713,2))</f>
        <v/>
      </c>
      <c r="I713" s="12" t="str">
        <f t="shared" ref="I713:I776" si="70">IF(NOT(ISNUMBER(C713)),"",ROUND(C713-SUM(D713,F713:G713),2))</f>
        <v/>
      </c>
      <c r="J713" s="13" t="str">
        <f t="shared" ref="J713:J776" si="71">IF(COUNTA(B713:C713)=0,"",IF(B713="","Falta apartamento",IF(NOT(ISNUMBER(C713)),"Falta valor","Completo")))</f>
        <v/>
      </c>
    </row>
    <row r="714" spans="1:10" ht="23.1" customHeight="1">
      <c r="A714" s="1" t="str">
        <f>IF(COUNTA(B714:C714)=0,"",706)</f>
        <v/>
      </c>
      <c r="B714" s="8"/>
      <c r="C714" s="9"/>
      <c r="D714" s="10" t="str">
        <f t="shared" si="66"/>
        <v/>
      </c>
      <c r="E714" s="1"/>
      <c r="F714" s="11" t="str">
        <f t="shared" si="67"/>
        <v/>
      </c>
      <c r="G714" s="11" t="str">
        <f t="shared" si="68"/>
        <v/>
      </c>
      <c r="H714" s="11" t="str">
        <f t="shared" si="69"/>
        <v/>
      </c>
      <c r="I714" s="12" t="str">
        <f t="shared" si="70"/>
        <v/>
      </c>
      <c r="J714" s="13" t="str">
        <f t="shared" si="71"/>
        <v/>
      </c>
    </row>
    <row r="715" spans="1:10" ht="23.1" customHeight="1">
      <c r="A715" s="1" t="str">
        <f>IF(COUNTA(B715:C715)=0,"",707)</f>
        <v/>
      </c>
      <c r="B715" s="8"/>
      <c r="C715" s="9"/>
      <c r="D715" s="10" t="str">
        <f t="shared" si="66"/>
        <v/>
      </c>
      <c r="E715" s="1"/>
      <c r="F715" s="11" t="str">
        <f t="shared" si="67"/>
        <v/>
      </c>
      <c r="G715" s="11" t="str">
        <f t="shared" si="68"/>
        <v/>
      </c>
      <c r="H715" s="11" t="str">
        <f t="shared" si="69"/>
        <v/>
      </c>
      <c r="I715" s="12" t="str">
        <f t="shared" si="70"/>
        <v/>
      </c>
      <c r="J715" s="13" t="str">
        <f t="shared" si="71"/>
        <v/>
      </c>
    </row>
    <row r="716" spans="1:10" ht="23.1" customHeight="1">
      <c r="A716" s="1" t="str">
        <f>IF(COUNTA(B716:C716)=0,"",708)</f>
        <v/>
      </c>
      <c r="B716" s="8"/>
      <c r="C716" s="9"/>
      <c r="D716" s="10" t="str">
        <f t="shared" si="66"/>
        <v/>
      </c>
      <c r="E716" s="1"/>
      <c r="F716" s="11" t="str">
        <f t="shared" si="67"/>
        <v/>
      </c>
      <c r="G716" s="11" t="str">
        <f t="shared" si="68"/>
        <v/>
      </c>
      <c r="H716" s="11" t="str">
        <f t="shared" si="69"/>
        <v/>
      </c>
      <c r="I716" s="12" t="str">
        <f t="shared" si="70"/>
        <v/>
      </c>
      <c r="J716" s="13" t="str">
        <f t="shared" si="71"/>
        <v/>
      </c>
    </row>
    <row r="717" spans="1:10" ht="23.1" customHeight="1">
      <c r="A717" s="1" t="str">
        <f>IF(COUNTA(B717:C717)=0,"",709)</f>
        <v/>
      </c>
      <c r="B717" s="8"/>
      <c r="C717" s="9"/>
      <c r="D717" s="10" t="str">
        <f t="shared" si="66"/>
        <v/>
      </c>
      <c r="E717" s="1"/>
      <c r="F717" s="11" t="str">
        <f t="shared" si="67"/>
        <v/>
      </c>
      <c r="G717" s="11" t="str">
        <f t="shared" si="68"/>
        <v/>
      </c>
      <c r="H717" s="11" t="str">
        <f t="shared" si="69"/>
        <v/>
      </c>
      <c r="I717" s="12" t="str">
        <f t="shared" si="70"/>
        <v/>
      </c>
      <c r="J717" s="13" t="str">
        <f t="shared" si="71"/>
        <v/>
      </c>
    </row>
    <row r="718" spans="1:10" ht="23.1" customHeight="1">
      <c r="A718" s="1" t="str">
        <f>IF(COUNTA(B718:C718)=0,"",710)</f>
        <v/>
      </c>
      <c r="B718" s="8"/>
      <c r="C718" s="9"/>
      <c r="D718" s="10" t="str">
        <f t="shared" si="66"/>
        <v/>
      </c>
      <c r="E718" s="1"/>
      <c r="F718" s="11" t="str">
        <f t="shared" si="67"/>
        <v/>
      </c>
      <c r="G718" s="11" t="str">
        <f t="shared" si="68"/>
        <v/>
      </c>
      <c r="H718" s="11" t="str">
        <f t="shared" si="69"/>
        <v/>
      </c>
      <c r="I718" s="12" t="str">
        <f t="shared" si="70"/>
        <v/>
      </c>
      <c r="J718" s="13" t="str">
        <f t="shared" si="71"/>
        <v/>
      </c>
    </row>
    <row r="719" spans="1:10" ht="23.1" customHeight="1">
      <c r="A719" s="1" t="str">
        <f>IF(COUNTA(B719:C719)=0,"",711)</f>
        <v/>
      </c>
      <c r="B719" s="8"/>
      <c r="C719" s="9"/>
      <c r="D719" s="10" t="str">
        <f t="shared" si="66"/>
        <v/>
      </c>
      <c r="E719" s="1"/>
      <c r="F719" s="11" t="str">
        <f t="shared" si="67"/>
        <v/>
      </c>
      <c r="G719" s="11" t="str">
        <f t="shared" si="68"/>
        <v/>
      </c>
      <c r="H719" s="11" t="str">
        <f t="shared" si="69"/>
        <v/>
      </c>
      <c r="I719" s="12" t="str">
        <f t="shared" si="70"/>
        <v/>
      </c>
      <c r="J719" s="13" t="str">
        <f t="shared" si="71"/>
        <v/>
      </c>
    </row>
    <row r="720" spans="1:10" ht="23.1" customHeight="1">
      <c r="A720" s="1" t="str">
        <f>IF(COUNTA(B720:C720)=0,"",712)</f>
        <v/>
      </c>
      <c r="B720" s="8"/>
      <c r="C720" s="9"/>
      <c r="D720" s="10" t="str">
        <f t="shared" si="66"/>
        <v/>
      </c>
      <c r="E720" s="1"/>
      <c r="F720" s="11" t="str">
        <f t="shared" si="67"/>
        <v/>
      </c>
      <c r="G720" s="11" t="str">
        <f t="shared" si="68"/>
        <v/>
      </c>
      <c r="H720" s="11" t="str">
        <f t="shared" si="69"/>
        <v/>
      </c>
      <c r="I720" s="12" t="str">
        <f t="shared" si="70"/>
        <v/>
      </c>
      <c r="J720" s="13" t="str">
        <f t="shared" si="71"/>
        <v/>
      </c>
    </row>
    <row r="721" spans="1:10" ht="23.1" customHeight="1">
      <c r="A721" s="1" t="str">
        <f>IF(COUNTA(B721:C721)=0,"",713)</f>
        <v/>
      </c>
      <c r="B721" s="8"/>
      <c r="C721" s="9"/>
      <c r="D721" s="10" t="str">
        <f t="shared" si="66"/>
        <v/>
      </c>
      <c r="E721" s="1"/>
      <c r="F721" s="11" t="str">
        <f t="shared" si="67"/>
        <v/>
      </c>
      <c r="G721" s="11" t="str">
        <f t="shared" si="68"/>
        <v/>
      </c>
      <c r="H721" s="11" t="str">
        <f t="shared" si="69"/>
        <v/>
      </c>
      <c r="I721" s="12" t="str">
        <f t="shared" si="70"/>
        <v/>
      </c>
      <c r="J721" s="13" t="str">
        <f t="shared" si="71"/>
        <v/>
      </c>
    </row>
    <row r="722" spans="1:10" ht="23.1" customHeight="1">
      <c r="A722" s="1" t="str">
        <f>IF(COUNTA(B722:C722)=0,"",714)</f>
        <v/>
      </c>
      <c r="B722" s="8"/>
      <c r="C722" s="9"/>
      <c r="D722" s="10" t="str">
        <f t="shared" si="66"/>
        <v/>
      </c>
      <c r="E722" s="1"/>
      <c r="F722" s="11" t="str">
        <f t="shared" si="67"/>
        <v/>
      </c>
      <c r="G722" s="11" t="str">
        <f t="shared" si="68"/>
        <v/>
      </c>
      <c r="H722" s="11" t="str">
        <f t="shared" si="69"/>
        <v/>
      </c>
      <c r="I722" s="12" t="str">
        <f t="shared" si="70"/>
        <v/>
      </c>
      <c r="J722" s="13" t="str">
        <f t="shared" si="71"/>
        <v/>
      </c>
    </row>
    <row r="723" spans="1:10" ht="23.1" customHeight="1">
      <c r="A723" s="1" t="str">
        <f>IF(COUNTA(B723:C723)=0,"",715)</f>
        <v/>
      </c>
      <c r="B723" s="8"/>
      <c r="C723" s="9"/>
      <c r="D723" s="10" t="str">
        <f t="shared" si="66"/>
        <v/>
      </c>
      <c r="E723" s="1"/>
      <c r="F723" s="11" t="str">
        <f t="shared" si="67"/>
        <v/>
      </c>
      <c r="G723" s="11" t="str">
        <f t="shared" si="68"/>
        <v/>
      </c>
      <c r="H723" s="11" t="str">
        <f t="shared" si="69"/>
        <v/>
      </c>
      <c r="I723" s="12" t="str">
        <f t="shared" si="70"/>
        <v/>
      </c>
      <c r="J723" s="13" t="str">
        <f t="shared" si="71"/>
        <v/>
      </c>
    </row>
    <row r="724" spans="1:10" ht="23.1" customHeight="1">
      <c r="A724" s="1" t="str">
        <f>IF(COUNTA(B724:C724)=0,"",716)</f>
        <v/>
      </c>
      <c r="B724" s="8"/>
      <c r="C724" s="9"/>
      <c r="D724" s="10" t="str">
        <f t="shared" si="66"/>
        <v/>
      </c>
      <c r="E724" s="1"/>
      <c r="F724" s="11" t="str">
        <f t="shared" si="67"/>
        <v/>
      </c>
      <c r="G724" s="11" t="str">
        <f t="shared" si="68"/>
        <v/>
      </c>
      <c r="H724" s="11" t="str">
        <f t="shared" si="69"/>
        <v/>
      </c>
      <c r="I724" s="12" t="str">
        <f t="shared" si="70"/>
        <v/>
      </c>
      <c r="J724" s="13" t="str">
        <f t="shared" si="71"/>
        <v/>
      </c>
    </row>
    <row r="725" spans="1:10" ht="23.1" customHeight="1">
      <c r="A725" s="1" t="str">
        <f>IF(COUNTA(B725:C725)=0,"",717)</f>
        <v/>
      </c>
      <c r="B725" s="8"/>
      <c r="C725" s="9"/>
      <c r="D725" s="10" t="str">
        <f t="shared" si="66"/>
        <v/>
      </c>
      <c r="E725" s="1"/>
      <c r="F725" s="11" t="str">
        <f t="shared" si="67"/>
        <v/>
      </c>
      <c r="G725" s="11" t="str">
        <f t="shared" si="68"/>
        <v/>
      </c>
      <c r="H725" s="11" t="str">
        <f t="shared" si="69"/>
        <v/>
      </c>
      <c r="I725" s="12" t="str">
        <f t="shared" si="70"/>
        <v/>
      </c>
      <c r="J725" s="13" t="str">
        <f t="shared" si="71"/>
        <v/>
      </c>
    </row>
    <row r="726" spans="1:10" ht="23.1" customHeight="1">
      <c r="A726" s="1" t="str">
        <f>IF(COUNTA(B726:C726)=0,"",718)</f>
        <v/>
      </c>
      <c r="B726" s="8"/>
      <c r="C726" s="9"/>
      <c r="D726" s="10" t="str">
        <f t="shared" si="66"/>
        <v/>
      </c>
      <c r="E726" s="1"/>
      <c r="F726" s="11" t="str">
        <f t="shared" si="67"/>
        <v/>
      </c>
      <c r="G726" s="11" t="str">
        <f t="shared" si="68"/>
        <v/>
      </c>
      <c r="H726" s="11" t="str">
        <f t="shared" si="69"/>
        <v/>
      </c>
      <c r="I726" s="12" t="str">
        <f t="shared" si="70"/>
        <v/>
      </c>
      <c r="J726" s="13" t="str">
        <f t="shared" si="71"/>
        <v/>
      </c>
    </row>
    <row r="727" spans="1:10" ht="23.1" customHeight="1">
      <c r="A727" s="1" t="str">
        <f>IF(COUNTA(B727:C727)=0,"",719)</f>
        <v/>
      </c>
      <c r="B727" s="8"/>
      <c r="C727" s="9"/>
      <c r="D727" s="10" t="str">
        <f t="shared" si="66"/>
        <v/>
      </c>
      <c r="E727" s="1"/>
      <c r="F727" s="11" t="str">
        <f t="shared" si="67"/>
        <v/>
      </c>
      <c r="G727" s="11" t="str">
        <f t="shared" si="68"/>
        <v/>
      </c>
      <c r="H727" s="11" t="str">
        <f t="shared" si="69"/>
        <v/>
      </c>
      <c r="I727" s="12" t="str">
        <f t="shared" si="70"/>
        <v/>
      </c>
      <c r="J727" s="13" t="str">
        <f t="shared" si="71"/>
        <v/>
      </c>
    </row>
    <row r="728" spans="1:10" ht="23.1" customHeight="1">
      <c r="A728" s="1" t="str">
        <f>IF(COUNTA(B728:C728)=0,"",720)</f>
        <v/>
      </c>
      <c r="B728" s="8"/>
      <c r="C728" s="9"/>
      <c r="D728" s="10" t="str">
        <f t="shared" si="66"/>
        <v/>
      </c>
      <c r="E728" s="1"/>
      <c r="F728" s="11" t="str">
        <f t="shared" si="67"/>
        <v/>
      </c>
      <c r="G728" s="11" t="str">
        <f t="shared" si="68"/>
        <v/>
      </c>
      <c r="H728" s="11" t="str">
        <f t="shared" si="69"/>
        <v/>
      </c>
      <c r="I728" s="12" t="str">
        <f t="shared" si="70"/>
        <v/>
      </c>
      <c r="J728" s="13" t="str">
        <f t="shared" si="71"/>
        <v/>
      </c>
    </row>
    <row r="729" spans="1:10" ht="23.1" customHeight="1">
      <c r="A729" s="1" t="str">
        <f>IF(COUNTA(B729:C729)=0,"",721)</f>
        <v/>
      </c>
      <c r="B729" s="8"/>
      <c r="C729" s="9"/>
      <c r="D729" s="10" t="str">
        <f t="shared" si="66"/>
        <v/>
      </c>
      <c r="E729" s="1"/>
      <c r="F729" s="11" t="str">
        <f t="shared" si="67"/>
        <v/>
      </c>
      <c r="G729" s="11" t="str">
        <f t="shared" si="68"/>
        <v/>
      </c>
      <c r="H729" s="11" t="str">
        <f t="shared" si="69"/>
        <v/>
      </c>
      <c r="I729" s="12" t="str">
        <f t="shared" si="70"/>
        <v/>
      </c>
      <c r="J729" s="13" t="str">
        <f t="shared" si="71"/>
        <v/>
      </c>
    </row>
    <row r="730" spans="1:10" ht="23.1" customHeight="1">
      <c r="A730" s="1" t="str">
        <f>IF(COUNTA(B730:C730)=0,"",722)</f>
        <v/>
      </c>
      <c r="B730" s="8"/>
      <c r="C730" s="9"/>
      <c r="D730" s="10" t="str">
        <f t="shared" si="66"/>
        <v/>
      </c>
      <c r="E730" s="1"/>
      <c r="F730" s="11" t="str">
        <f t="shared" si="67"/>
        <v/>
      </c>
      <c r="G730" s="11" t="str">
        <f t="shared" si="68"/>
        <v/>
      </c>
      <c r="H730" s="11" t="str">
        <f t="shared" si="69"/>
        <v/>
      </c>
      <c r="I730" s="12" t="str">
        <f t="shared" si="70"/>
        <v/>
      </c>
      <c r="J730" s="13" t="str">
        <f t="shared" si="71"/>
        <v/>
      </c>
    </row>
    <row r="731" spans="1:10" ht="23.1" customHeight="1">
      <c r="A731" s="1" t="str">
        <f>IF(COUNTA(B731:C731)=0,"",723)</f>
        <v/>
      </c>
      <c r="B731" s="8"/>
      <c r="C731" s="9"/>
      <c r="D731" s="10" t="str">
        <f t="shared" si="66"/>
        <v/>
      </c>
      <c r="E731" s="1"/>
      <c r="F731" s="11" t="str">
        <f t="shared" si="67"/>
        <v/>
      </c>
      <c r="G731" s="11" t="str">
        <f t="shared" si="68"/>
        <v/>
      </c>
      <c r="H731" s="11" t="str">
        <f t="shared" si="69"/>
        <v/>
      </c>
      <c r="I731" s="12" t="str">
        <f t="shared" si="70"/>
        <v/>
      </c>
      <c r="J731" s="13" t="str">
        <f t="shared" si="71"/>
        <v/>
      </c>
    </row>
    <row r="732" spans="1:10" ht="23.1" customHeight="1">
      <c r="A732" s="1" t="str">
        <f>IF(COUNTA(B732:C732)=0,"",724)</f>
        <v/>
      </c>
      <c r="B732" s="8"/>
      <c r="C732" s="9"/>
      <c r="D732" s="10" t="str">
        <f t="shared" si="66"/>
        <v/>
      </c>
      <c r="E732" s="1"/>
      <c r="F732" s="11" t="str">
        <f t="shared" si="67"/>
        <v/>
      </c>
      <c r="G732" s="11" t="str">
        <f t="shared" si="68"/>
        <v/>
      </c>
      <c r="H732" s="11" t="str">
        <f t="shared" si="69"/>
        <v/>
      </c>
      <c r="I732" s="12" t="str">
        <f t="shared" si="70"/>
        <v/>
      </c>
      <c r="J732" s="13" t="str">
        <f t="shared" si="71"/>
        <v/>
      </c>
    </row>
    <row r="733" spans="1:10" ht="23.1" customHeight="1">
      <c r="A733" s="1" t="str">
        <f>IF(COUNTA(B733:C733)=0,"",725)</f>
        <v/>
      </c>
      <c r="B733" s="8"/>
      <c r="C733" s="9"/>
      <c r="D733" s="10" t="str">
        <f t="shared" si="66"/>
        <v/>
      </c>
      <c r="E733" s="1"/>
      <c r="F733" s="11" t="str">
        <f t="shared" si="67"/>
        <v/>
      </c>
      <c r="G733" s="11" t="str">
        <f t="shared" si="68"/>
        <v/>
      </c>
      <c r="H733" s="11" t="str">
        <f t="shared" si="69"/>
        <v/>
      </c>
      <c r="I733" s="12" t="str">
        <f t="shared" si="70"/>
        <v/>
      </c>
      <c r="J733" s="13" t="str">
        <f t="shared" si="71"/>
        <v/>
      </c>
    </row>
    <row r="734" spans="1:10" ht="23.1" customHeight="1">
      <c r="A734" s="1" t="str">
        <f>IF(COUNTA(B734:C734)=0,"",726)</f>
        <v/>
      </c>
      <c r="B734" s="8"/>
      <c r="C734" s="9"/>
      <c r="D734" s="10" t="str">
        <f t="shared" si="66"/>
        <v/>
      </c>
      <c r="E734" s="1"/>
      <c r="F734" s="11" t="str">
        <f t="shared" si="67"/>
        <v/>
      </c>
      <c r="G734" s="11" t="str">
        <f t="shared" si="68"/>
        <v/>
      </c>
      <c r="H734" s="11" t="str">
        <f t="shared" si="69"/>
        <v/>
      </c>
      <c r="I734" s="12" t="str">
        <f t="shared" si="70"/>
        <v/>
      </c>
      <c r="J734" s="13" t="str">
        <f t="shared" si="71"/>
        <v/>
      </c>
    </row>
    <row r="735" spans="1:10" ht="23.1" customHeight="1">
      <c r="A735" s="1" t="str">
        <f>IF(COUNTA(B735:C735)=0,"",727)</f>
        <v/>
      </c>
      <c r="B735" s="8"/>
      <c r="C735" s="9"/>
      <c r="D735" s="10" t="str">
        <f t="shared" si="66"/>
        <v/>
      </c>
      <c r="E735" s="1"/>
      <c r="F735" s="11" t="str">
        <f t="shared" si="67"/>
        <v/>
      </c>
      <c r="G735" s="11" t="str">
        <f t="shared" si="68"/>
        <v/>
      </c>
      <c r="H735" s="11" t="str">
        <f t="shared" si="69"/>
        <v/>
      </c>
      <c r="I735" s="12" t="str">
        <f t="shared" si="70"/>
        <v/>
      </c>
      <c r="J735" s="13" t="str">
        <f t="shared" si="71"/>
        <v/>
      </c>
    </row>
    <row r="736" spans="1:10" ht="23.1" customHeight="1">
      <c r="A736" s="1" t="str">
        <f>IF(COUNTA(B736:C736)=0,"",728)</f>
        <v/>
      </c>
      <c r="B736" s="8"/>
      <c r="C736" s="9"/>
      <c r="D736" s="10" t="str">
        <f t="shared" si="66"/>
        <v/>
      </c>
      <c r="E736" s="1"/>
      <c r="F736" s="11" t="str">
        <f t="shared" si="67"/>
        <v/>
      </c>
      <c r="G736" s="11" t="str">
        <f t="shared" si="68"/>
        <v/>
      </c>
      <c r="H736" s="11" t="str">
        <f t="shared" si="69"/>
        <v/>
      </c>
      <c r="I736" s="12" t="str">
        <f t="shared" si="70"/>
        <v/>
      </c>
      <c r="J736" s="13" t="str">
        <f t="shared" si="71"/>
        <v/>
      </c>
    </row>
    <row r="737" spans="1:10" ht="23.1" customHeight="1">
      <c r="A737" s="1" t="str">
        <f>IF(COUNTA(B737:C737)=0,"",729)</f>
        <v/>
      </c>
      <c r="B737" s="8"/>
      <c r="C737" s="9"/>
      <c r="D737" s="10" t="str">
        <f t="shared" si="66"/>
        <v/>
      </c>
      <c r="E737" s="1"/>
      <c r="F737" s="11" t="str">
        <f t="shared" si="67"/>
        <v/>
      </c>
      <c r="G737" s="11" t="str">
        <f t="shared" si="68"/>
        <v/>
      </c>
      <c r="H737" s="11" t="str">
        <f t="shared" si="69"/>
        <v/>
      </c>
      <c r="I737" s="12" t="str">
        <f t="shared" si="70"/>
        <v/>
      </c>
      <c r="J737" s="13" t="str">
        <f t="shared" si="71"/>
        <v/>
      </c>
    </row>
    <row r="738" spans="1:10" ht="23.1" customHeight="1">
      <c r="A738" s="1" t="str">
        <f>IF(COUNTA(B738:C738)=0,"",730)</f>
        <v/>
      </c>
      <c r="B738" s="8"/>
      <c r="C738" s="9"/>
      <c r="D738" s="10" t="str">
        <f t="shared" si="66"/>
        <v/>
      </c>
      <c r="E738" s="1"/>
      <c r="F738" s="11" t="str">
        <f t="shared" si="67"/>
        <v/>
      </c>
      <c r="G738" s="11" t="str">
        <f t="shared" si="68"/>
        <v/>
      </c>
      <c r="H738" s="11" t="str">
        <f t="shared" si="69"/>
        <v/>
      </c>
      <c r="I738" s="12" t="str">
        <f t="shared" si="70"/>
        <v/>
      </c>
      <c r="J738" s="13" t="str">
        <f t="shared" si="71"/>
        <v/>
      </c>
    </row>
    <row r="739" spans="1:10" ht="23.1" customHeight="1">
      <c r="A739" s="1" t="str">
        <f>IF(COUNTA(B739:C739)=0,"",731)</f>
        <v/>
      </c>
      <c r="B739" s="8"/>
      <c r="C739" s="9"/>
      <c r="D739" s="10" t="str">
        <f t="shared" si="66"/>
        <v/>
      </c>
      <c r="E739" s="1"/>
      <c r="F739" s="11" t="str">
        <f t="shared" si="67"/>
        <v/>
      </c>
      <c r="G739" s="11" t="str">
        <f t="shared" si="68"/>
        <v/>
      </c>
      <c r="H739" s="11" t="str">
        <f t="shared" si="69"/>
        <v/>
      </c>
      <c r="I739" s="12" t="str">
        <f t="shared" si="70"/>
        <v/>
      </c>
      <c r="J739" s="13" t="str">
        <f t="shared" si="71"/>
        <v/>
      </c>
    </row>
    <row r="740" spans="1:10" ht="23.1" customHeight="1">
      <c r="A740" s="1" t="str">
        <f>IF(COUNTA(B740:C740)=0,"",732)</f>
        <v/>
      </c>
      <c r="B740" s="8"/>
      <c r="C740" s="9"/>
      <c r="D740" s="10" t="str">
        <f t="shared" si="66"/>
        <v/>
      </c>
      <c r="E740" s="1"/>
      <c r="F740" s="11" t="str">
        <f t="shared" si="67"/>
        <v/>
      </c>
      <c r="G740" s="11" t="str">
        <f t="shared" si="68"/>
        <v/>
      </c>
      <c r="H740" s="11" t="str">
        <f t="shared" si="69"/>
        <v/>
      </c>
      <c r="I740" s="12" t="str">
        <f t="shared" si="70"/>
        <v/>
      </c>
      <c r="J740" s="13" t="str">
        <f t="shared" si="71"/>
        <v/>
      </c>
    </row>
    <row r="741" spans="1:10" ht="23.1" customHeight="1">
      <c r="A741" s="1" t="str">
        <f>IF(COUNTA(B741:C741)=0,"",733)</f>
        <v/>
      </c>
      <c r="B741" s="8"/>
      <c r="C741" s="9"/>
      <c r="D741" s="10" t="str">
        <f t="shared" si="66"/>
        <v/>
      </c>
      <c r="E741" s="1"/>
      <c r="F741" s="11" t="str">
        <f t="shared" si="67"/>
        <v/>
      </c>
      <c r="G741" s="11" t="str">
        <f t="shared" si="68"/>
        <v/>
      </c>
      <c r="H741" s="11" t="str">
        <f t="shared" si="69"/>
        <v/>
      </c>
      <c r="I741" s="12" t="str">
        <f t="shared" si="70"/>
        <v/>
      </c>
      <c r="J741" s="13" t="str">
        <f t="shared" si="71"/>
        <v/>
      </c>
    </row>
    <row r="742" spans="1:10" ht="23.1" customHeight="1">
      <c r="A742" s="1" t="str">
        <f>IF(COUNTA(B742:C742)=0,"",734)</f>
        <v/>
      </c>
      <c r="B742" s="8"/>
      <c r="C742" s="9"/>
      <c r="D742" s="10" t="str">
        <f t="shared" si="66"/>
        <v/>
      </c>
      <c r="E742" s="1"/>
      <c r="F742" s="11" t="str">
        <f t="shared" si="67"/>
        <v/>
      </c>
      <c r="G742" s="11" t="str">
        <f t="shared" si="68"/>
        <v/>
      </c>
      <c r="H742" s="11" t="str">
        <f t="shared" si="69"/>
        <v/>
      </c>
      <c r="I742" s="12" t="str">
        <f t="shared" si="70"/>
        <v/>
      </c>
      <c r="J742" s="13" t="str">
        <f t="shared" si="71"/>
        <v/>
      </c>
    </row>
    <row r="743" spans="1:10" ht="23.1" customHeight="1">
      <c r="A743" s="1" t="str">
        <f>IF(COUNTA(B743:C743)=0,"",735)</f>
        <v/>
      </c>
      <c r="B743" s="8"/>
      <c r="C743" s="9"/>
      <c r="D743" s="10" t="str">
        <f t="shared" si="66"/>
        <v/>
      </c>
      <c r="E743" s="1"/>
      <c r="F743" s="11" t="str">
        <f t="shared" si="67"/>
        <v/>
      </c>
      <c r="G743" s="11" t="str">
        <f t="shared" si="68"/>
        <v/>
      </c>
      <c r="H743" s="11" t="str">
        <f t="shared" si="69"/>
        <v/>
      </c>
      <c r="I743" s="12" t="str">
        <f t="shared" si="70"/>
        <v/>
      </c>
      <c r="J743" s="13" t="str">
        <f t="shared" si="71"/>
        <v/>
      </c>
    </row>
    <row r="744" spans="1:10" ht="23.1" customHeight="1">
      <c r="A744" s="1" t="str">
        <f>IF(COUNTA(B744:C744)=0,"",736)</f>
        <v/>
      </c>
      <c r="B744" s="8"/>
      <c r="C744" s="9"/>
      <c r="D744" s="10" t="str">
        <f t="shared" si="66"/>
        <v/>
      </c>
      <c r="E744" s="1"/>
      <c r="F744" s="11" t="str">
        <f t="shared" si="67"/>
        <v/>
      </c>
      <c r="G744" s="11" t="str">
        <f t="shared" si="68"/>
        <v/>
      </c>
      <c r="H744" s="11" t="str">
        <f t="shared" si="69"/>
        <v/>
      </c>
      <c r="I744" s="12" t="str">
        <f t="shared" si="70"/>
        <v/>
      </c>
      <c r="J744" s="13" t="str">
        <f t="shared" si="71"/>
        <v/>
      </c>
    </row>
    <row r="745" spans="1:10" ht="23.1" customHeight="1">
      <c r="A745" s="1" t="str">
        <f>IF(COUNTA(B745:C745)=0,"",737)</f>
        <v/>
      </c>
      <c r="B745" s="8"/>
      <c r="C745" s="9"/>
      <c r="D745" s="10" t="str">
        <f t="shared" si="66"/>
        <v/>
      </c>
      <c r="E745" s="1"/>
      <c r="F745" s="11" t="str">
        <f t="shared" si="67"/>
        <v/>
      </c>
      <c r="G745" s="11" t="str">
        <f t="shared" si="68"/>
        <v/>
      </c>
      <c r="H745" s="11" t="str">
        <f t="shared" si="69"/>
        <v/>
      </c>
      <c r="I745" s="12" t="str">
        <f t="shared" si="70"/>
        <v/>
      </c>
      <c r="J745" s="13" t="str">
        <f t="shared" si="71"/>
        <v/>
      </c>
    </row>
    <row r="746" spans="1:10" ht="23.1" customHeight="1">
      <c r="A746" s="1" t="str">
        <f>IF(COUNTA(B746:C746)=0,"",738)</f>
        <v/>
      </c>
      <c r="B746" s="8"/>
      <c r="C746" s="9"/>
      <c r="D746" s="10" t="str">
        <f t="shared" si="66"/>
        <v/>
      </c>
      <c r="E746" s="1"/>
      <c r="F746" s="11" t="str">
        <f t="shared" si="67"/>
        <v/>
      </c>
      <c r="G746" s="11" t="str">
        <f t="shared" si="68"/>
        <v/>
      </c>
      <c r="H746" s="11" t="str">
        <f t="shared" si="69"/>
        <v/>
      </c>
      <c r="I746" s="12" t="str">
        <f t="shared" si="70"/>
        <v/>
      </c>
      <c r="J746" s="13" t="str">
        <f t="shared" si="71"/>
        <v/>
      </c>
    </row>
    <row r="747" spans="1:10" ht="23.1" customHeight="1">
      <c r="A747" s="1" t="str">
        <f>IF(COUNTA(B747:C747)=0,"",739)</f>
        <v/>
      </c>
      <c r="B747" s="8"/>
      <c r="C747" s="9"/>
      <c r="D747" s="10" t="str">
        <f t="shared" si="66"/>
        <v/>
      </c>
      <c r="E747" s="1"/>
      <c r="F747" s="11" t="str">
        <f t="shared" si="67"/>
        <v/>
      </c>
      <c r="G747" s="11" t="str">
        <f t="shared" si="68"/>
        <v/>
      </c>
      <c r="H747" s="11" t="str">
        <f t="shared" si="69"/>
        <v/>
      </c>
      <c r="I747" s="12" t="str">
        <f t="shared" si="70"/>
        <v/>
      </c>
      <c r="J747" s="13" t="str">
        <f t="shared" si="71"/>
        <v/>
      </c>
    </row>
    <row r="748" spans="1:10" ht="23.1" customHeight="1">
      <c r="A748" s="1" t="str">
        <f>IF(COUNTA(B748:C748)=0,"",740)</f>
        <v/>
      </c>
      <c r="B748" s="8"/>
      <c r="C748" s="9"/>
      <c r="D748" s="10" t="str">
        <f t="shared" si="66"/>
        <v/>
      </c>
      <c r="E748" s="1"/>
      <c r="F748" s="11" t="str">
        <f t="shared" si="67"/>
        <v/>
      </c>
      <c r="G748" s="11" t="str">
        <f t="shared" si="68"/>
        <v/>
      </c>
      <c r="H748" s="11" t="str">
        <f t="shared" si="69"/>
        <v/>
      </c>
      <c r="I748" s="12" t="str">
        <f t="shared" si="70"/>
        <v/>
      </c>
      <c r="J748" s="13" t="str">
        <f t="shared" si="71"/>
        <v/>
      </c>
    </row>
    <row r="749" spans="1:10" ht="23.1" customHeight="1">
      <c r="A749" s="1" t="str">
        <f>IF(COUNTA(B749:C749)=0,"",741)</f>
        <v/>
      </c>
      <c r="B749" s="8"/>
      <c r="C749" s="9"/>
      <c r="D749" s="10" t="str">
        <f t="shared" si="66"/>
        <v/>
      </c>
      <c r="E749" s="1"/>
      <c r="F749" s="11" t="str">
        <f t="shared" si="67"/>
        <v/>
      </c>
      <c r="G749" s="11" t="str">
        <f t="shared" si="68"/>
        <v/>
      </c>
      <c r="H749" s="11" t="str">
        <f t="shared" si="69"/>
        <v/>
      </c>
      <c r="I749" s="12" t="str">
        <f t="shared" si="70"/>
        <v/>
      </c>
      <c r="J749" s="13" t="str">
        <f t="shared" si="71"/>
        <v/>
      </c>
    </row>
    <row r="750" spans="1:10" ht="23.1" customHeight="1">
      <c r="A750" s="1" t="str">
        <f>IF(COUNTA(B750:C750)=0,"",742)</f>
        <v/>
      </c>
      <c r="B750" s="8"/>
      <c r="C750" s="9"/>
      <c r="D750" s="10" t="str">
        <f t="shared" si="66"/>
        <v/>
      </c>
      <c r="E750" s="1"/>
      <c r="F750" s="11" t="str">
        <f t="shared" si="67"/>
        <v/>
      </c>
      <c r="G750" s="11" t="str">
        <f t="shared" si="68"/>
        <v/>
      </c>
      <c r="H750" s="11" t="str">
        <f t="shared" si="69"/>
        <v/>
      </c>
      <c r="I750" s="12" t="str">
        <f t="shared" si="70"/>
        <v/>
      </c>
      <c r="J750" s="13" t="str">
        <f t="shared" si="71"/>
        <v/>
      </c>
    </row>
    <row r="751" spans="1:10" ht="23.1" customHeight="1">
      <c r="A751" s="1" t="str">
        <f>IF(COUNTA(B751:C751)=0,"",743)</f>
        <v/>
      </c>
      <c r="B751" s="8"/>
      <c r="C751" s="9"/>
      <c r="D751" s="10" t="str">
        <f t="shared" si="66"/>
        <v/>
      </c>
      <c r="E751" s="1"/>
      <c r="F751" s="11" t="str">
        <f t="shared" si="67"/>
        <v/>
      </c>
      <c r="G751" s="11" t="str">
        <f t="shared" si="68"/>
        <v/>
      </c>
      <c r="H751" s="11" t="str">
        <f t="shared" si="69"/>
        <v/>
      </c>
      <c r="I751" s="12" t="str">
        <f t="shared" si="70"/>
        <v/>
      </c>
      <c r="J751" s="13" t="str">
        <f t="shared" si="71"/>
        <v/>
      </c>
    </row>
    <row r="752" spans="1:10" ht="23.1" customHeight="1">
      <c r="A752" s="1" t="str">
        <f>IF(COUNTA(B752:C752)=0,"",744)</f>
        <v/>
      </c>
      <c r="B752" s="8"/>
      <c r="C752" s="9"/>
      <c r="D752" s="10" t="str">
        <f t="shared" si="66"/>
        <v/>
      </c>
      <c r="E752" s="1"/>
      <c r="F752" s="11" t="str">
        <f t="shared" si="67"/>
        <v/>
      </c>
      <c r="G752" s="11" t="str">
        <f t="shared" si="68"/>
        <v/>
      </c>
      <c r="H752" s="11" t="str">
        <f t="shared" si="69"/>
        <v/>
      </c>
      <c r="I752" s="12" t="str">
        <f t="shared" si="70"/>
        <v/>
      </c>
      <c r="J752" s="13" t="str">
        <f t="shared" si="71"/>
        <v/>
      </c>
    </row>
    <row r="753" spans="1:10" ht="23.1" customHeight="1">
      <c r="A753" s="1" t="str">
        <f>IF(COUNTA(B753:C753)=0,"",745)</f>
        <v/>
      </c>
      <c r="B753" s="8"/>
      <c r="C753" s="9"/>
      <c r="D753" s="10" t="str">
        <f t="shared" si="66"/>
        <v/>
      </c>
      <c r="E753" s="1"/>
      <c r="F753" s="11" t="str">
        <f t="shared" si="67"/>
        <v/>
      </c>
      <c r="G753" s="11" t="str">
        <f t="shared" si="68"/>
        <v/>
      </c>
      <c r="H753" s="11" t="str">
        <f t="shared" si="69"/>
        <v/>
      </c>
      <c r="I753" s="12" t="str">
        <f t="shared" si="70"/>
        <v/>
      </c>
      <c r="J753" s="13" t="str">
        <f t="shared" si="71"/>
        <v/>
      </c>
    </row>
    <row r="754" spans="1:10" ht="23.1" customHeight="1">
      <c r="A754" s="1" t="str">
        <f>IF(COUNTA(B754:C754)=0,"",746)</f>
        <v/>
      </c>
      <c r="B754" s="8"/>
      <c r="C754" s="9"/>
      <c r="D754" s="10" t="str">
        <f t="shared" si="66"/>
        <v/>
      </c>
      <c r="E754" s="1"/>
      <c r="F754" s="11" t="str">
        <f t="shared" si="67"/>
        <v/>
      </c>
      <c r="G754" s="11" t="str">
        <f t="shared" si="68"/>
        <v/>
      </c>
      <c r="H754" s="11" t="str">
        <f t="shared" si="69"/>
        <v/>
      </c>
      <c r="I754" s="12" t="str">
        <f t="shared" si="70"/>
        <v/>
      </c>
      <c r="J754" s="13" t="str">
        <f t="shared" si="71"/>
        <v/>
      </c>
    </row>
    <row r="755" spans="1:10" ht="23.1" customHeight="1">
      <c r="A755" s="1" t="str">
        <f>IF(COUNTA(B755:C755)=0,"",747)</f>
        <v/>
      </c>
      <c r="B755" s="8"/>
      <c r="C755" s="9"/>
      <c r="D755" s="10" t="str">
        <f t="shared" si="66"/>
        <v/>
      </c>
      <c r="E755" s="1"/>
      <c r="F755" s="11" t="str">
        <f t="shared" si="67"/>
        <v/>
      </c>
      <c r="G755" s="11" t="str">
        <f t="shared" si="68"/>
        <v/>
      </c>
      <c r="H755" s="11" t="str">
        <f t="shared" si="69"/>
        <v/>
      </c>
      <c r="I755" s="12" t="str">
        <f t="shared" si="70"/>
        <v/>
      </c>
      <c r="J755" s="13" t="str">
        <f t="shared" si="71"/>
        <v/>
      </c>
    </row>
    <row r="756" spans="1:10" ht="23.1" customHeight="1">
      <c r="A756" s="1" t="str">
        <f>IF(COUNTA(B756:C756)=0,"",748)</f>
        <v/>
      </c>
      <c r="B756" s="8"/>
      <c r="C756" s="9"/>
      <c r="D756" s="10" t="str">
        <f t="shared" si="66"/>
        <v/>
      </c>
      <c r="E756" s="1"/>
      <c r="F756" s="11" t="str">
        <f t="shared" si="67"/>
        <v/>
      </c>
      <c r="G756" s="11" t="str">
        <f t="shared" si="68"/>
        <v/>
      </c>
      <c r="H756" s="11" t="str">
        <f t="shared" si="69"/>
        <v/>
      </c>
      <c r="I756" s="12" t="str">
        <f t="shared" si="70"/>
        <v/>
      </c>
      <c r="J756" s="13" t="str">
        <f t="shared" si="71"/>
        <v/>
      </c>
    </row>
    <row r="757" spans="1:10" ht="23.1" customHeight="1">
      <c r="A757" s="1" t="str">
        <f>IF(COUNTA(B757:C757)=0,"",749)</f>
        <v/>
      </c>
      <c r="B757" s="8"/>
      <c r="C757" s="9"/>
      <c r="D757" s="10" t="str">
        <f t="shared" si="66"/>
        <v/>
      </c>
      <c r="E757" s="1"/>
      <c r="F757" s="11" t="str">
        <f t="shared" si="67"/>
        <v/>
      </c>
      <c r="G757" s="11" t="str">
        <f t="shared" si="68"/>
        <v/>
      </c>
      <c r="H757" s="11" t="str">
        <f t="shared" si="69"/>
        <v/>
      </c>
      <c r="I757" s="12" t="str">
        <f t="shared" si="70"/>
        <v/>
      </c>
      <c r="J757" s="13" t="str">
        <f t="shared" si="71"/>
        <v/>
      </c>
    </row>
    <row r="758" spans="1:10" ht="23.1" customHeight="1">
      <c r="A758" s="1" t="str">
        <f>IF(COUNTA(B758:C758)=0,"",750)</f>
        <v/>
      </c>
      <c r="B758" s="8"/>
      <c r="C758" s="9"/>
      <c r="D758" s="10" t="str">
        <f t="shared" si="66"/>
        <v/>
      </c>
      <c r="E758" s="1"/>
      <c r="F758" s="11" t="str">
        <f t="shared" si="67"/>
        <v/>
      </c>
      <c r="G758" s="11" t="str">
        <f t="shared" si="68"/>
        <v/>
      </c>
      <c r="H758" s="11" t="str">
        <f t="shared" si="69"/>
        <v/>
      </c>
      <c r="I758" s="12" t="str">
        <f t="shared" si="70"/>
        <v/>
      </c>
      <c r="J758" s="13" t="str">
        <f t="shared" si="71"/>
        <v/>
      </c>
    </row>
    <row r="759" spans="1:10" ht="23.1" customHeight="1">
      <c r="A759" s="1" t="str">
        <f>IF(COUNTA(B759:C759)=0,"",751)</f>
        <v/>
      </c>
      <c r="B759" s="8"/>
      <c r="C759" s="9"/>
      <c r="D759" s="10" t="str">
        <f t="shared" si="66"/>
        <v/>
      </c>
      <c r="E759" s="1"/>
      <c r="F759" s="11" t="str">
        <f t="shared" si="67"/>
        <v/>
      </c>
      <c r="G759" s="11" t="str">
        <f t="shared" si="68"/>
        <v/>
      </c>
      <c r="H759" s="11" t="str">
        <f t="shared" si="69"/>
        <v/>
      </c>
      <c r="I759" s="12" t="str">
        <f t="shared" si="70"/>
        <v/>
      </c>
      <c r="J759" s="13" t="str">
        <f t="shared" si="71"/>
        <v/>
      </c>
    </row>
    <row r="760" spans="1:10" ht="23.1" customHeight="1">
      <c r="A760" s="1" t="str">
        <f>IF(COUNTA(B760:C760)=0,"",752)</f>
        <v/>
      </c>
      <c r="B760" s="8"/>
      <c r="C760" s="9"/>
      <c r="D760" s="10" t="str">
        <f t="shared" si="66"/>
        <v/>
      </c>
      <c r="E760" s="1"/>
      <c r="F760" s="11" t="str">
        <f t="shared" si="67"/>
        <v/>
      </c>
      <c r="G760" s="11" t="str">
        <f t="shared" si="68"/>
        <v/>
      </c>
      <c r="H760" s="11" t="str">
        <f t="shared" si="69"/>
        <v/>
      </c>
      <c r="I760" s="12" t="str">
        <f t="shared" si="70"/>
        <v/>
      </c>
      <c r="J760" s="13" t="str">
        <f t="shared" si="71"/>
        <v/>
      </c>
    </row>
    <row r="761" spans="1:10" ht="23.1" customHeight="1">
      <c r="A761" s="1" t="str">
        <f>IF(COUNTA(B761:C761)=0,"",753)</f>
        <v/>
      </c>
      <c r="B761" s="8"/>
      <c r="C761" s="9"/>
      <c r="D761" s="10" t="str">
        <f t="shared" si="66"/>
        <v/>
      </c>
      <c r="E761" s="1"/>
      <c r="F761" s="11" t="str">
        <f t="shared" si="67"/>
        <v/>
      </c>
      <c r="G761" s="11" t="str">
        <f t="shared" si="68"/>
        <v/>
      </c>
      <c r="H761" s="11" t="str">
        <f t="shared" si="69"/>
        <v/>
      </c>
      <c r="I761" s="12" t="str">
        <f t="shared" si="70"/>
        <v/>
      </c>
      <c r="J761" s="13" t="str">
        <f t="shared" si="71"/>
        <v/>
      </c>
    </row>
    <row r="762" spans="1:10" ht="23.1" customHeight="1">
      <c r="A762" s="1" t="str">
        <f>IF(COUNTA(B762:C762)=0,"",754)</f>
        <v/>
      </c>
      <c r="B762" s="8"/>
      <c r="C762" s="9"/>
      <c r="D762" s="10" t="str">
        <f t="shared" si="66"/>
        <v/>
      </c>
      <c r="E762" s="1"/>
      <c r="F762" s="11" t="str">
        <f t="shared" si="67"/>
        <v/>
      </c>
      <c r="G762" s="11" t="str">
        <f t="shared" si="68"/>
        <v/>
      </c>
      <c r="H762" s="11" t="str">
        <f t="shared" si="69"/>
        <v/>
      </c>
      <c r="I762" s="12" t="str">
        <f t="shared" si="70"/>
        <v/>
      </c>
      <c r="J762" s="13" t="str">
        <f t="shared" si="71"/>
        <v/>
      </c>
    </row>
    <row r="763" spans="1:10" ht="23.1" customHeight="1">
      <c r="A763" s="1" t="str">
        <f>IF(COUNTA(B763:C763)=0,"",755)</f>
        <v/>
      </c>
      <c r="B763" s="8"/>
      <c r="C763" s="9"/>
      <c r="D763" s="10" t="str">
        <f t="shared" si="66"/>
        <v/>
      </c>
      <c r="E763" s="1"/>
      <c r="F763" s="11" t="str">
        <f t="shared" si="67"/>
        <v/>
      </c>
      <c r="G763" s="11" t="str">
        <f t="shared" si="68"/>
        <v/>
      </c>
      <c r="H763" s="11" t="str">
        <f t="shared" si="69"/>
        <v/>
      </c>
      <c r="I763" s="12" t="str">
        <f t="shared" si="70"/>
        <v/>
      </c>
      <c r="J763" s="13" t="str">
        <f t="shared" si="71"/>
        <v/>
      </c>
    </row>
    <row r="764" spans="1:10" ht="23.1" customHeight="1">
      <c r="A764" s="1" t="str">
        <f>IF(COUNTA(B764:C764)=0,"",756)</f>
        <v/>
      </c>
      <c r="B764" s="8"/>
      <c r="C764" s="9"/>
      <c r="D764" s="10" t="str">
        <f t="shared" si="66"/>
        <v/>
      </c>
      <c r="E764" s="1"/>
      <c r="F764" s="11" t="str">
        <f t="shared" si="67"/>
        <v/>
      </c>
      <c r="G764" s="11" t="str">
        <f t="shared" si="68"/>
        <v/>
      </c>
      <c r="H764" s="11" t="str">
        <f t="shared" si="69"/>
        <v/>
      </c>
      <c r="I764" s="12" t="str">
        <f t="shared" si="70"/>
        <v/>
      </c>
      <c r="J764" s="13" t="str">
        <f t="shared" si="71"/>
        <v/>
      </c>
    </row>
    <row r="765" spans="1:10" ht="23.1" customHeight="1">
      <c r="A765" s="1" t="str">
        <f>IF(COUNTA(B765:C765)=0,"",757)</f>
        <v/>
      </c>
      <c r="B765" s="8"/>
      <c r="C765" s="9"/>
      <c r="D765" s="10" t="str">
        <f t="shared" si="66"/>
        <v/>
      </c>
      <c r="E765" s="1"/>
      <c r="F765" s="11" t="str">
        <f t="shared" si="67"/>
        <v/>
      </c>
      <c r="G765" s="11" t="str">
        <f t="shared" si="68"/>
        <v/>
      </c>
      <c r="H765" s="11" t="str">
        <f t="shared" si="69"/>
        <v/>
      </c>
      <c r="I765" s="12" t="str">
        <f t="shared" si="70"/>
        <v/>
      </c>
      <c r="J765" s="13" t="str">
        <f t="shared" si="71"/>
        <v/>
      </c>
    </row>
    <row r="766" spans="1:10" ht="23.1" customHeight="1">
      <c r="A766" s="1" t="str">
        <f>IF(COUNTA(B766:C766)=0,"",758)</f>
        <v/>
      </c>
      <c r="B766" s="8"/>
      <c r="C766" s="9"/>
      <c r="D766" s="10" t="str">
        <f t="shared" si="66"/>
        <v/>
      </c>
      <c r="E766" s="1"/>
      <c r="F766" s="11" t="str">
        <f t="shared" si="67"/>
        <v/>
      </c>
      <c r="G766" s="11" t="str">
        <f t="shared" si="68"/>
        <v/>
      </c>
      <c r="H766" s="11" t="str">
        <f t="shared" si="69"/>
        <v/>
      </c>
      <c r="I766" s="12" t="str">
        <f t="shared" si="70"/>
        <v/>
      </c>
      <c r="J766" s="13" t="str">
        <f t="shared" si="71"/>
        <v/>
      </c>
    </row>
    <row r="767" spans="1:10" ht="23.1" customHeight="1">
      <c r="A767" s="1" t="str">
        <f>IF(COUNTA(B767:C767)=0,"",759)</f>
        <v/>
      </c>
      <c r="B767" s="8"/>
      <c r="C767" s="9"/>
      <c r="D767" s="10" t="str">
        <f t="shared" si="66"/>
        <v/>
      </c>
      <c r="E767" s="1"/>
      <c r="F767" s="11" t="str">
        <f t="shared" si="67"/>
        <v/>
      </c>
      <c r="G767" s="11" t="str">
        <f t="shared" si="68"/>
        <v/>
      </c>
      <c r="H767" s="11" t="str">
        <f t="shared" si="69"/>
        <v/>
      </c>
      <c r="I767" s="12" t="str">
        <f t="shared" si="70"/>
        <v/>
      </c>
      <c r="J767" s="13" t="str">
        <f t="shared" si="71"/>
        <v/>
      </c>
    </row>
    <row r="768" spans="1:10" ht="23.1" customHeight="1">
      <c r="A768" s="1" t="str">
        <f>IF(COUNTA(B768:C768)=0,"",760)</f>
        <v/>
      </c>
      <c r="B768" s="8"/>
      <c r="C768" s="9"/>
      <c r="D768" s="10" t="str">
        <f t="shared" si="66"/>
        <v/>
      </c>
      <c r="E768" s="1"/>
      <c r="F768" s="11" t="str">
        <f t="shared" si="67"/>
        <v/>
      </c>
      <c r="G768" s="11" t="str">
        <f t="shared" si="68"/>
        <v/>
      </c>
      <c r="H768" s="11" t="str">
        <f t="shared" si="69"/>
        <v/>
      </c>
      <c r="I768" s="12" t="str">
        <f t="shared" si="70"/>
        <v/>
      </c>
      <c r="J768" s="13" t="str">
        <f t="shared" si="71"/>
        <v/>
      </c>
    </row>
    <row r="769" spans="1:10" ht="23.1" customHeight="1">
      <c r="A769" s="1" t="str">
        <f>IF(COUNTA(B769:C769)=0,"",761)</f>
        <v/>
      </c>
      <c r="B769" s="8"/>
      <c r="C769" s="9"/>
      <c r="D769" s="10" t="str">
        <f t="shared" si="66"/>
        <v/>
      </c>
      <c r="E769" s="1"/>
      <c r="F769" s="11" t="str">
        <f t="shared" si="67"/>
        <v/>
      </c>
      <c r="G769" s="11" t="str">
        <f t="shared" si="68"/>
        <v/>
      </c>
      <c r="H769" s="11" t="str">
        <f t="shared" si="69"/>
        <v/>
      </c>
      <c r="I769" s="12" t="str">
        <f t="shared" si="70"/>
        <v/>
      </c>
      <c r="J769" s="13" t="str">
        <f t="shared" si="71"/>
        <v/>
      </c>
    </row>
    <row r="770" spans="1:10" ht="23.1" customHeight="1">
      <c r="A770" s="1" t="str">
        <f>IF(COUNTA(B770:C770)=0,"",762)</f>
        <v/>
      </c>
      <c r="B770" s="8"/>
      <c r="C770" s="9"/>
      <c r="D770" s="10" t="str">
        <f t="shared" si="66"/>
        <v/>
      </c>
      <c r="E770" s="1"/>
      <c r="F770" s="11" t="str">
        <f t="shared" si="67"/>
        <v/>
      </c>
      <c r="G770" s="11" t="str">
        <f t="shared" si="68"/>
        <v/>
      </c>
      <c r="H770" s="11" t="str">
        <f t="shared" si="69"/>
        <v/>
      </c>
      <c r="I770" s="12" t="str">
        <f t="shared" si="70"/>
        <v/>
      </c>
      <c r="J770" s="13" t="str">
        <f t="shared" si="71"/>
        <v/>
      </c>
    </row>
    <row r="771" spans="1:10" ht="23.1" customHeight="1">
      <c r="A771" s="1" t="str">
        <f>IF(COUNTA(B771:C771)=0,"",763)</f>
        <v/>
      </c>
      <c r="B771" s="8"/>
      <c r="C771" s="9"/>
      <c r="D771" s="10" t="str">
        <f t="shared" si="66"/>
        <v/>
      </c>
      <c r="E771" s="1"/>
      <c r="F771" s="11" t="str">
        <f t="shared" si="67"/>
        <v/>
      </c>
      <c r="G771" s="11" t="str">
        <f t="shared" si="68"/>
        <v/>
      </c>
      <c r="H771" s="11" t="str">
        <f t="shared" si="69"/>
        <v/>
      </c>
      <c r="I771" s="12" t="str">
        <f t="shared" si="70"/>
        <v/>
      </c>
      <c r="J771" s="13" t="str">
        <f t="shared" si="71"/>
        <v/>
      </c>
    </row>
    <row r="772" spans="1:10" ht="23.1" customHeight="1">
      <c r="A772" s="1" t="str">
        <f>IF(COUNTA(B772:C772)=0,"",764)</f>
        <v/>
      </c>
      <c r="B772" s="8"/>
      <c r="C772" s="9"/>
      <c r="D772" s="10" t="str">
        <f t="shared" si="66"/>
        <v/>
      </c>
      <c r="E772" s="1"/>
      <c r="F772" s="11" t="str">
        <f t="shared" si="67"/>
        <v/>
      </c>
      <c r="G772" s="11" t="str">
        <f t="shared" si="68"/>
        <v/>
      </c>
      <c r="H772" s="11" t="str">
        <f t="shared" si="69"/>
        <v/>
      </c>
      <c r="I772" s="12" t="str">
        <f t="shared" si="70"/>
        <v/>
      </c>
      <c r="J772" s="13" t="str">
        <f t="shared" si="71"/>
        <v/>
      </c>
    </row>
    <row r="773" spans="1:10" ht="23.1" customHeight="1">
      <c r="A773" s="1" t="str">
        <f>IF(COUNTA(B773:C773)=0,"",765)</f>
        <v/>
      </c>
      <c r="B773" s="8"/>
      <c r="C773" s="9"/>
      <c r="D773" s="10" t="str">
        <f t="shared" si="66"/>
        <v/>
      </c>
      <c r="E773" s="1"/>
      <c r="F773" s="11" t="str">
        <f t="shared" si="67"/>
        <v/>
      </c>
      <c r="G773" s="11" t="str">
        <f t="shared" si="68"/>
        <v/>
      </c>
      <c r="H773" s="11" t="str">
        <f t="shared" si="69"/>
        <v/>
      </c>
      <c r="I773" s="12" t="str">
        <f t="shared" si="70"/>
        <v/>
      </c>
      <c r="J773" s="13" t="str">
        <f t="shared" si="71"/>
        <v/>
      </c>
    </row>
    <row r="774" spans="1:10" ht="23.1" customHeight="1">
      <c r="A774" s="1" t="str">
        <f>IF(COUNTA(B774:C774)=0,"",766)</f>
        <v/>
      </c>
      <c r="B774" s="8"/>
      <c r="C774" s="9"/>
      <c r="D774" s="10" t="str">
        <f t="shared" si="66"/>
        <v/>
      </c>
      <c r="E774" s="1"/>
      <c r="F774" s="11" t="str">
        <f t="shared" si="67"/>
        <v/>
      </c>
      <c r="G774" s="11" t="str">
        <f t="shared" si="68"/>
        <v/>
      </c>
      <c r="H774" s="11" t="str">
        <f t="shared" si="69"/>
        <v/>
      </c>
      <c r="I774" s="12" t="str">
        <f t="shared" si="70"/>
        <v/>
      </c>
      <c r="J774" s="13" t="str">
        <f t="shared" si="71"/>
        <v/>
      </c>
    </row>
    <row r="775" spans="1:10" ht="23.1" customHeight="1">
      <c r="A775" s="1" t="str">
        <f>IF(COUNTA(B775:C775)=0,"",767)</f>
        <v/>
      </c>
      <c r="B775" s="8"/>
      <c r="C775" s="9"/>
      <c r="D775" s="10" t="str">
        <f t="shared" si="66"/>
        <v/>
      </c>
      <c r="E775" s="1"/>
      <c r="F775" s="11" t="str">
        <f t="shared" si="67"/>
        <v/>
      </c>
      <c r="G775" s="11" t="str">
        <f t="shared" si="68"/>
        <v/>
      </c>
      <c r="H775" s="11" t="str">
        <f t="shared" si="69"/>
        <v/>
      </c>
      <c r="I775" s="12" t="str">
        <f t="shared" si="70"/>
        <v/>
      </c>
      <c r="J775" s="13" t="str">
        <f t="shared" si="71"/>
        <v/>
      </c>
    </row>
    <row r="776" spans="1:10" ht="23.1" customHeight="1">
      <c r="A776" s="1" t="str">
        <f>IF(COUNTA(B776:C776)=0,"",768)</f>
        <v/>
      </c>
      <c r="B776" s="8"/>
      <c r="C776" s="9"/>
      <c r="D776" s="10" t="str">
        <f t="shared" si="66"/>
        <v/>
      </c>
      <c r="E776" s="1"/>
      <c r="F776" s="11" t="str">
        <f t="shared" si="67"/>
        <v/>
      </c>
      <c r="G776" s="11" t="str">
        <f t="shared" si="68"/>
        <v/>
      </c>
      <c r="H776" s="11" t="str">
        <f t="shared" si="69"/>
        <v/>
      </c>
      <c r="I776" s="12" t="str">
        <f t="shared" si="70"/>
        <v/>
      </c>
      <c r="J776" s="13" t="str">
        <f t="shared" si="71"/>
        <v/>
      </c>
    </row>
    <row r="777" spans="1:10" ht="23.1" customHeight="1">
      <c r="A777" s="1" t="str">
        <f>IF(COUNTA(B777:C777)=0,"",769)</f>
        <v/>
      </c>
      <c r="B777" s="8"/>
      <c r="C777" s="9"/>
      <c r="D777" s="10" t="str">
        <f t="shared" ref="D777:D840" si="72">IF(NOT(ISNUMBER(C777)),"",ROUND(C777*30%,2))</f>
        <v/>
      </c>
      <c r="E777" s="1"/>
      <c r="F777" s="11" t="str">
        <f t="shared" ref="F777:F840" si="73">IF(NOT(ISNUMBER(C777)),"",ROUND(H777*30%,2))</f>
        <v/>
      </c>
      <c r="G777" s="11" t="str">
        <f t="shared" ref="G777:G840" si="74">IF(NOT(ISNUMBER(C777)),"",ROUND(H777-F777,2))</f>
        <v/>
      </c>
      <c r="H777" s="11" t="str">
        <f t="shared" ref="H777:H840" si="75">IF(NOT(ISNUMBER(C777)),"",ROUND(C777-D777,2))</f>
        <v/>
      </c>
      <c r="I777" s="12" t="str">
        <f t="shared" ref="I777:I840" si="76">IF(NOT(ISNUMBER(C777)),"",ROUND(C777-SUM(D777,F777:G777),2))</f>
        <v/>
      </c>
      <c r="J777" s="13" t="str">
        <f t="shared" ref="J777:J840" si="77">IF(COUNTA(B777:C777)=0,"",IF(B777="","Falta apartamento",IF(NOT(ISNUMBER(C777)),"Falta valor","Completo")))</f>
        <v/>
      </c>
    </row>
    <row r="778" spans="1:10" ht="23.1" customHeight="1">
      <c r="A778" s="1" t="str">
        <f>IF(COUNTA(B778:C778)=0,"",770)</f>
        <v/>
      </c>
      <c r="B778" s="8"/>
      <c r="C778" s="9"/>
      <c r="D778" s="10" t="str">
        <f t="shared" si="72"/>
        <v/>
      </c>
      <c r="E778" s="1"/>
      <c r="F778" s="11" t="str">
        <f t="shared" si="73"/>
        <v/>
      </c>
      <c r="G778" s="11" t="str">
        <f t="shared" si="74"/>
        <v/>
      </c>
      <c r="H778" s="11" t="str">
        <f t="shared" si="75"/>
        <v/>
      </c>
      <c r="I778" s="12" t="str">
        <f t="shared" si="76"/>
        <v/>
      </c>
      <c r="J778" s="13" t="str">
        <f t="shared" si="77"/>
        <v/>
      </c>
    </row>
    <row r="779" spans="1:10" ht="23.1" customHeight="1">
      <c r="A779" s="1" t="str">
        <f>IF(COUNTA(B779:C779)=0,"",771)</f>
        <v/>
      </c>
      <c r="B779" s="8"/>
      <c r="C779" s="9"/>
      <c r="D779" s="10" t="str">
        <f t="shared" si="72"/>
        <v/>
      </c>
      <c r="E779" s="1"/>
      <c r="F779" s="11" t="str">
        <f t="shared" si="73"/>
        <v/>
      </c>
      <c r="G779" s="11" t="str">
        <f t="shared" si="74"/>
        <v/>
      </c>
      <c r="H779" s="11" t="str">
        <f t="shared" si="75"/>
        <v/>
      </c>
      <c r="I779" s="12" t="str">
        <f t="shared" si="76"/>
        <v/>
      </c>
      <c r="J779" s="13" t="str">
        <f t="shared" si="77"/>
        <v/>
      </c>
    </row>
    <row r="780" spans="1:10" ht="23.1" customHeight="1">
      <c r="A780" s="1" t="str">
        <f>IF(COUNTA(B780:C780)=0,"",772)</f>
        <v/>
      </c>
      <c r="B780" s="8"/>
      <c r="C780" s="9"/>
      <c r="D780" s="10" t="str">
        <f t="shared" si="72"/>
        <v/>
      </c>
      <c r="E780" s="1"/>
      <c r="F780" s="11" t="str">
        <f t="shared" si="73"/>
        <v/>
      </c>
      <c r="G780" s="11" t="str">
        <f t="shared" si="74"/>
        <v/>
      </c>
      <c r="H780" s="11" t="str">
        <f t="shared" si="75"/>
        <v/>
      </c>
      <c r="I780" s="12" t="str">
        <f t="shared" si="76"/>
        <v/>
      </c>
      <c r="J780" s="13" t="str">
        <f t="shared" si="77"/>
        <v/>
      </c>
    </row>
    <row r="781" spans="1:10" ht="23.1" customHeight="1">
      <c r="A781" s="1" t="str">
        <f>IF(COUNTA(B781:C781)=0,"",773)</f>
        <v/>
      </c>
      <c r="B781" s="8"/>
      <c r="C781" s="9"/>
      <c r="D781" s="10" t="str">
        <f t="shared" si="72"/>
        <v/>
      </c>
      <c r="E781" s="1"/>
      <c r="F781" s="11" t="str">
        <f t="shared" si="73"/>
        <v/>
      </c>
      <c r="G781" s="11" t="str">
        <f t="shared" si="74"/>
        <v/>
      </c>
      <c r="H781" s="11" t="str">
        <f t="shared" si="75"/>
        <v/>
      </c>
      <c r="I781" s="12" t="str">
        <f t="shared" si="76"/>
        <v/>
      </c>
      <c r="J781" s="13" t="str">
        <f t="shared" si="77"/>
        <v/>
      </c>
    </row>
    <row r="782" spans="1:10" ht="23.1" customHeight="1">
      <c r="A782" s="1" t="str">
        <f>IF(COUNTA(B782:C782)=0,"",774)</f>
        <v/>
      </c>
      <c r="B782" s="8"/>
      <c r="C782" s="9"/>
      <c r="D782" s="10" t="str">
        <f t="shared" si="72"/>
        <v/>
      </c>
      <c r="E782" s="1"/>
      <c r="F782" s="11" t="str">
        <f t="shared" si="73"/>
        <v/>
      </c>
      <c r="G782" s="11" t="str">
        <f t="shared" si="74"/>
        <v/>
      </c>
      <c r="H782" s="11" t="str">
        <f t="shared" si="75"/>
        <v/>
      </c>
      <c r="I782" s="12" t="str">
        <f t="shared" si="76"/>
        <v/>
      </c>
      <c r="J782" s="13" t="str">
        <f t="shared" si="77"/>
        <v/>
      </c>
    </row>
    <row r="783" spans="1:10" ht="23.1" customHeight="1">
      <c r="A783" s="1" t="str">
        <f>IF(COUNTA(B783:C783)=0,"",775)</f>
        <v/>
      </c>
      <c r="B783" s="8"/>
      <c r="C783" s="9"/>
      <c r="D783" s="10" t="str">
        <f t="shared" si="72"/>
        <v/>
      </c>
      <c r="E783" s="1"/>
      <c r="F783" s="11" t="str">
        <f t="shared" si="73"/>
        <v/>
      </c>
      <c r="G783" s="11" t="str">
        <f t="shared" si="74"/>
        <v/>
      </c>
      <c r="H783" s="11" t="str">
        <f t="shared" si="75"/>
        <v/>
      </c>
      <c r="I783" s="12" t="str">
        <f t="shared" si="76"/>
        <v/>
      </c>
      <c r="J783" s="13" t="str">
        <f t="shared" si="77"/>
        <v/>
      </c>
    </row>
    <row r="784" spans="1:10" ht="23.1" customHeight="1">
      <c r="A784" s="1" t="str">
        <f>IF(COUNTA(B784:C784)=0,"",776)</f>
        <v/>
      </c>
      <c r="B784" s="8"/>
      <c r="C784" s="9"/>
      <c r="D784" s="10" t="str">
        <f t="shared" si="72"/>
        <v/>
      </c>
      <c r="E784" s="1"/>
      <c r="F784" s="11" t="str">
        <f t="shared" si="73"/>
        <v/>
      </c>
      <c r="G784" s="11" t="str">
        <f t="shared" si="74"/>
        <v/>
      </c>
      <c r="H784" s="11" t="str">
        <f t="shared" si="75"/>
        <v/>
      </c>
      <c r="I784" s="12" t="str">
        <f t="shared" si="76"/>
        <v/>
      </c>
      <c r="J784" s="13" t="str">
        <f t="shared" si="77"/>
        <v/>
      </c>
    </row>
    <row r="785" spans="1:10" ht="23.1" customHeight="1">
      <c r="A785" s="1" t="str">
        <f>IF(COUNTA(B785:C785)=0,"",777)</f>
        <v/>
      </c>
      <c r="B785" s="8"/>
      <c r="C785" s="9"/>
      <c r="D785" s="10" t="str">
        <f t="shared" si="72"/>
        <v/>
      </c>
      <c r="E785" s="1"/>
      <c r="F785" s="11" t="str">
        <f t="shared" si="73"/>
        <v/>
      </c>
      <c r="G785" s="11" t="str">
        <f t="shared" si="74"/>
        <v/>
      </c>
      <c r="H785" s="11" t="str">
        <f t="shared" si="75"/>
        <v/>
      </c>
      <c r="I785" s="12" t="str">
        <f t="shared" si="76"/>
        <v/>
      </c>
      <c r="J785" s="13" t="str">
        <f t="shared" si="77"/>
        <v/>
      </c>
    </row>
    <row r="786" spans="1:10" ht="23.1" customHeight="1">
      <c r="A786" s="1" t="str">
        <f>IF(COUNTA(B786:C786)=0,"",778)</f>
        <v/>
      </c>
      <c r="B786" s="8"/>
      <c r="C786" s="9"/>
      <c r="D786" s="10" t="str">
        <f t="shared" si="72"/>
        <v/>
      </c>
      <c r="E786" s="1"/>
      <c r="F786" s="11" t="str">
        <f t="shared" si="73"/>
        <v/>
      </c>
      <c r="G786" s="11" t="str">
        <f t="shared" si="74"/>
        <v/>
      </c>
      <c r="H786" s="11" t="str">
        <f t="shared" si="75"/>
        <v/>
      </c>
      <c r="I786" s="12" t="str">
        <f t="shared" si="76"/>
        <v/>
      </c>
      <c r="J786" s="13" t="str">
        <f t="shared" si="77"/>
        <v/>
      </c>
    </row>
    <row r="787" spans="1:10" ht="23.1" customHeight="1">
      <c r="A787" s="1" t="str">
        <f>IF(COUNTA(B787:C787)=0,"",779)</f>
        <v/>
      </c>
      <c r="B787" s="8"/>
      <c r="C787" s="9"/>
      <c r="D787" s="10" t="str">
        <f t="shared" si="72"/>
        <v/>
      </c>
      <c r="E787" s="1"/>
      <c r="F787" s="11" t="str">
        <f t="shared" si="73"/>
        <v/>
      </c>
      <c r="G787" s="11" t="str">
        <f t="shared" si="74"/>
        <v/>
      </c>
      <c r="H787" s="11" t="str">
        <f t="shared" si="75"/>
        <v/>
      </c>
      <c r="I787" s="12" t="str">
        <f t="shared" si="76"/>
        <v/>
      </c>
      <c r="J787" s="13" t="str">
        <f t="shared" si="77"/>
        <v/>
      </c>
    </row>
    <row r="788" spans="1:10" ht="23.1" customHeight="1">
      <c r="A788" s="1" t="str">
        <f>IF(COUNTA(B788:C788)=0,"",780)</f>
        <v/>
      </c>
      <c r="B788" s="8"/>
      <c r="C788" s="9"/>
      <c r="D788" s="10" t="str">
        <f t="shared" si="72"/>
        <v/>
      </c>
      <c r="E788" s="1"/>
      <c r="F788" s="11" t="str">
        <f t="shared" si="73"/>
        <v/>
      </c>
      <c r="G788" s="11" t="str">
        <f t="shared" si="74"/>
        <v/>
      </c>
      <c r="H788" s="11" t="str">
        <f t="shared" si="75"/>
        <v/>
      </c>
      <c r="I788" s="12" t="str">
        <f t="shared" si="76"/>
        <v/>
      </c>
      <c r="J788" s="13" t="str">
        <f t="shared" si="77"/>
        <v/>
      </c>
    </row>
    <row r="789" spans="1:10" ht="23.1" customHeight="1">
      <c r="A789" s="1" t="str">
        <f>IF(COUNTA(B789:C789)=0,"",781)</f>
        <v/>
      </c>
      <c r="B789" s="8"/>
      <c r="C789" s="9"/>
      <c r="D789" s="10" t="str">
        <f t="shared" si="72"/>
        <v/>
      </c>
      <c r="E789" s="1"/>
      <c r="F789" s="11" t="str">
        <f t="shared" si="73"/>
        <v/>
      </c>
      <c r="G789" s="11" t="str">
        <f t="shared" si="74"/>
        <v/>
      </c>
      <c r="H789" s="11" t="str">
        <f t="shared" si="75"/>
        <v/>
      </c>
      <c r="I789" s="12" t="str">
        <f t="shared" si="76"/>
        <v/>
      </c>
      <c r="J789" s="13" t="str">
        <f t="shared" si="77"/>
        <v/>
      </c>
    </row>
    <row r="790" spans="1:10" ht="23.1" customHeight="1">
      <c r="A790" s="1" t="str">
        <f>IF(COUNTA(B790:C790)=0,"",782)</f>
        <v/>
      </c>
      <c r="B790" s="8"/>
      <c r="C790" s="9"/>
      <c r="D790" s="10" t="str">
        <f t="shared" si="72"/>
        <v/>
      </c>
      <c r="E790" s="1"/>
      <c r="F790" s="11" t="str">
        <f t="shared" si="73"/>
        <v/>
      </c>
      <c r="G790" s="11" t="str">
        <f t="shared" si="74"/>
        <v/>
      </c>
      <c r="H790" s="11" t="str">
        <f t="shared" si="75"/>
        <v/>
      </c>
      <c r="I790" s="12" t="str">
        <f t="shared" si="76"/>
        <v/>
      </c>
      <c r="J790" s="13" t="str">
        <f t="shared" si="77"/>
        <v/>
      </c>
    </row>
    <row r="791" spans="1:10" ht="23.1" customHeight="1">
      <c r="A791" s="1" t="str">
        <f>IF(COUNTA(B791:C791)=0,"",783)</f>
        <v/>
      </c>
      <c r="B791" s="8"/>
      <c r="C791" s="9"/>
      <c r="D791" s="10" t="str">
        <f t="shared" si="72"/>
        <v/>
      </c>
      <c r="E791" s="1"/>
      <c r="F791" s="11" t="str">
        <f t="shared" si="73"/>
        <v/>
      </c>
      <c r="G791" s="11" t="str">
        <f t="shared" si="74"/>
        <v/>
      </c>
      <c r="H791" s="11" t="str">
        <f t="shared" si="75"/>
        <v/>
      </c>
      <c r="I791" s="12" t="str">
        <f t="shared" si="76"/>
        <v/>
      </c>
      <c r="J791" s="13" t="str">
        <f t="shared" si="77"/>
        <v/>
      </c>
    </row>
    <row r="792" spans="1:10" ht="23.1" customHeight="1">
      <c r="A792" s="1" t="str">
        <f>IF(COUNTA(B792:C792)=0,"",784)</f>
        <v/>
      </c>
      <c r="B792" s="8"/>
      <c r="C792" s="9"/>
      <c r="D792" s="10" t="str">
        <f t="shared" si="72"/>
        <v/>
      </c>
      <c r="E792" s="1"/>
      <c r="F792" s="11" t="str">
        <f t="shared" si="73"/>
        <v/>
      </c>
      <c r="G792" s="11" t="str">
        <f t="shared" si="74"/>
        <v/>
      </c>
      <c r="H792" s="11" t="str">
        <f t="shared" si="75"/>
        <v/>
      </c>
      <c r="I792" s="12" t="str">
        <f t="shared" si="76"/>
        <v/>
      </c>
      <c r="J792" s="13" t="str">
        <f t="shared" si="77"/>
        <v/>
      </c>
    </row>
    <row r="793" spans="1:10" ht="23.1" customHeight="1">
      <c r="A793" s="1" t="str">
        <f>IF(COUNTA(B793:C793)=0,"",785)</f>
        <v/>
      </c>
      <c r="B793" s="8"/>
      <c r="C793" s="9"/>
      <c r="D793" s="10" t="str">
        <f t="shared" si="72"/>
        <v/>
      </c>
      <c r="E793" s="1"/>
      <c r="F793" s="11" t="str">
        <f t="shared" si="73"/>
        <v/>
      </c>
      <c r="G793" s="11" t="str">
        <f t="shared" si="74"/>
        <v/>
      </c>
      <c r="H793" s="11" t="str">
        <f t="shared" si="75"/>
        <v/>
      </c>
      <c r="I793" s="12" t="str">
        <f t="shared" si="76"/>
        <v/>
      </c>
      <c r="J793" s="13" t="str">
        <f t="shared" si="77"/>
        <v/>
      </c>
    </row>
    <row r="794" spans="1:10" ht="23.1" customHeight="1">
      <c r="A794" s="1" t="str">
        <f>IF(COUNTA(B794:C794)=0,"",786)</f>
        <v/>
      </c>
      <c r="B794" s="8"/>
      <c r="C794" s="9"/>
      <c r="D794" s="10" t="str">
        <f t="shared" si="72"/>
        <v/>
      </c>
      <c r="E794" s="1"/>
      <c r="F794" s="11" t="str">
        <f t="shared" si="73"/>
        <v/>
      </c>
      <c r="G794" s="11" t="str">
        <f t="shared" si="74"/>
        <v/>
      </c>
      <c r="H794" s="11" t="str">
        <f t="shared" si="75"/>
        <v/>
      </c>
      <c r="I794" s="12" t="str">
        <f t="shared" si="76"/>
        <v/>
      </c>
      <c r="J794" s="13" t="str">
        <f t="shared" si="77"/>
        <v/>
      </c>
    </row>
    <row r="795" spans="1:10" ht="23.1" customHeight="1">
      <c r="A795" s="1" t="str">
        <f>IF(COUNTA(B795:C795)=0,"",787)</f>
        <v/>
      </c>
      <c r="B795" s="8"/>
      <c r="C795" s="9"/>
      <c r="D795" s="10" t="str">
        <f t="shared" si="72"/>
        <v/>
      </c>
      <c r="E795" s="1"/>
      <c r="F795" s="11" t="str">
        <f t="shared" si="73"/>
        <v/>
      </c>
      <c r="G795" s="11" t="str">
        <f t="shared" si="74"/>
        <v/>
      </c>
      <c r="H795" s="11" t="str">
        <f t="shared" si="75"/>
        <v/>
      </c>
      <c r="I795" s="12" t="str">
        <f t="shared" si="76"/>
        <v/>
      </c>
      <c r="J795" s="13" t="str">
        <f t="shared" si="77"/>
        <v/>
      </c>
    </row>
    <row r="796" spans="1:10" ht="23.1" customHeight="1">
      <c r="A796" s="1" t="str">
        <f>IF(COUNTA(B796:C796)=0,"",788)</f>
        <v/>
      </c>
      <c r="B796" s="8"/>
      <c r="C796" s="9"/>
      <c r="D796" s="10" t="str">
        <f t="shared" si="72"/>
        <v/>
      </c>
      <c r="E796" s="1"/>
      <c r="F796" s="11" t="str">
        <f t="shared" si="73"/>
        <v/>
      </c>
      <c r="G796" s="11" t="str">
        <f t="shared" si="74"/>
        <v/>
      </c>
      <c r="H796" s="11" t="str">
        <f t="shared" si="75"/>
        <v/>
      </c>
      <c r="I796" s="12" t="str">
        <f t="shared" si="76"/>
        <v/>
      </c>
      <c r="J796" s="13" t="str">
        <f t="shared" si="77"/>
        <v/>
      </c>
    </row>
    <row r="797" spans="1:10" ht="23.1" customHeight="1">
      <c r="A797" s="1" t="str">
        <f>IF(COUNTA(B797:C797)=0,"",789)</f>
        <v/>
      </c>
      <c r="B797" s="8"/>
      <c r="C797" s="9"/>
      <c r="D797" s="10" t="str">
        <f t="shared" si="72"/>
        <v/>
      </c>
      <c r="E797" s="1"/>
      <c r="F797" s="11" t="str">
        <f t="shared" si="73"/>
        <v/>
      </c>
      <c r="G797" s="11" t="str">
        <f t="shared" si="74"/>
        <v/>
      </c>
      <c r="H797" s="11" t="str">
        <f t="shared" si="75"/>
        <v/>
      </c>
      <c r="I797" s="12" t="str">
        <f t="shared" si="76"/>
        <v/>
      </c>
      <c r="J797" s="13" t="str">
        <f t="shared" si="77"/>
        <v/>
      </c>
    </row>
    <row r="798" spans="1:10" ht="23.1" customHeight="1">
      <c r="A798" s="1" t="str">
        <f>IF(COUNTA(B798:C798)=0,"",790)</f>
        <v/>
      </c>
      <c r="B798" s="8"/>
      <c r="C798" s="9"/>
      <c r="D798" s="10" t="str">
        <f t="shared" si="72"/>
        <v/>
      </c>
      <c r="E798" s="1"/>
      <c r="F798" s="11" t="str">
        <f t="shared" si="73"/>
        <v/>
      </c>
      <c r="G798" s="11" t="str">
        <f t="shared" si="74"/>
        <v/>
      </c>
      <c r="H798" s="11" t="str">
        <f t="shared" si="75"/>
        <v/>
      </c>
      <c r="I798" s="12" t="str">
        <f t="shared" si="76"/>
        <v/>
      </c>
      <c r="J798" s="13" t="str">
        <f t="shared" si="77"/>
        <v/>
      </c>
    </row>
    <row r="799" spans="1:10" ht="23.1" customHeight="1">
      <c r="A799" s="1" t="str">
        <f>IF(COUNTA(B799:C799)=0,"",791)</f>
        <v/>
      </c>
      <c r="B799" s="8"/>
      <c r="C799" s="9"/>
      <c r="D799" s="10" t="str">
        <f t="shared" si="72"/>
        <v/>
      </c>
      <c r="E799" s="1"/>
      <c r="F799" s="11" t="str">
        <f t="shared" si="73"/>
        <v/>
      </c>
      <c r="G799" s="11" t="str">
        <f t="shared" si="74"/>
        <v/>
      </c>
      <c r="H799" s="11" t="str">
        <f t="shared" si="75"/>
        <v/>
      </c>
      <c r="I799" s="12" t="str">
        <f t="shared" si="76"/>
        <v/>
      </c>
      <c r="J799" s="13" t="str">
        <f t="shared" si="77"/>
        <v/>
      </c>
    </row>
    <row r="800" spans="1:10" ht="23.1" customHeight="1">
      <c r="A800" s="1" t="str">
        <f>IF(COUNTA(B800:C800)=0,"",792)</f>
        <v/>
      </c>
      <c r="B800" s="8"/>
      <c r="C800" s="9"/>
      <c r="D800" s="10" t="str">
        <f t="shared" si="72"/>
        <v/>
      </c>
      <c r="E800" s="1"/>
      <c r="F800" s="11" t="str">
        <f t="shared" si="73"/>
        <v/>
      </c>
      <c r="G800" s="11" t="str">
        <f t="shared" si="74"/>
        <v/>
      </c>
      <c r="H800" s="11" t="str">
        <f t="shared" si="75"/>
        <v/>
      </c>
      <c r="I800" s="12" t="str">
        <f t="shared" si="76"/>
        <v/>
      </c>
      <c r="J800" s="13" t="str">
        <f t="shared" si="77"/>
        <v/>
      </c>
    </row>
    <row r="801" spans="1:10" ht="23.1" customHeight="1">
      <c r="A801" s="1" t="str">
        <f>IF(COUNTA(B801:C801)=0,"",793)</f>
        <v/>
      </c>
      <c r="B801" s="8"/>
      <c r="C801" s="9"/>
      <c r="D801" s="10" t="str">
        <f t="shared" si="72"/>
        <v/>
      </c>
      <c r="E801" s="1"/>
      <c r="F801" s="11" t="str">
        <f t="shared" si="73"/>
        <v/>
      </c>
      <c r="G801" s="11" t="str">
        <f t="shared" si="74"/>
        <v/>
      </c>
      <c r="H801" s="11" t="str">
        <f t="shared" si="75"/>
        <v/>
      </c>
      <c r="I801" s="12" t="str">
        <f t="shared" si="76"/>
        <v/>
      </c>
      <c r="J801" s="13" t="str">
        <f t="shared" si="77"/>
        <v/>
      </c>
    </row>
    <row r="802" spans="1:10" ht="23.1" customHeight="1">
      <c r="A802" s="1" t="str">
        <f>IF(COUNTA(B802:C802)=0,"",794)</f>
        <v/>
      </c>
      <c r="B802" s="8"/>
      <c r="C802" s="9"/>
      <c r="D802" s="10" t="str">
        <f t="shared" si="72"/>
        <v/>
      </c>
      <c r="E802" s="1"/>
      <c r="F802" s="11" t="str">
        <f t="shared" si="73"/>
        <v/>
      </c>
      <c r="G802" s="11" t="str">
        <f t="shared" si="74"/>
        <v/>
      </c>
      <c r="H802" s="11" t="str">
        <f t="shared" si="75"/>
        <v/>
      </c>
      <c r="I802" s="12" t="str">
        <f t="shared" si="76"/>
        <v/>
      </c>
      <c r="J802" s="13" t="str">
        <f t="shared" si="77"/>
        <v/>
      </c>
    </row>
    <row r="803" spans="1:10" ht="23.1" customHeight="1">
      <c r="A803" s="1" t="str">
        <f>IF(COUNTA(B803:C803)=0,"",795)</f>
        <v/>
      </c>
      <c r="B803" s="8"/>
      <c r="C803" s="9"/>
      <c r="D803" s="10" t="str">
        <f t="shared" si="72"/>
        <v/>
      </c>
      <c r="E803" s="1"/>
      <c r="F803" s="11" t="str">
        <f t="shared" si="73"/>
        <v/>
      </c>
      <c r="G803" s="11" t="str">
        <f t="shared" si="74"/>
        <v/>
      </c>
      <c r="H803" s="11" t="str">
        <f t="shared" si="75"/>
        <v/>
      </c>
      <c r="I803" s="12" t="str">
        <f t="shared" si="76"/>
        <v/>
      </c>
      <c r="J803" s="13" t="str">
        <f t="shared" si="77"/>
        <v/>
      </c>
    </row>
    <row r="804" spans="1:10" ht="23.1" customHeight="1">
      <c r="A804" s="1" t="str">
        <f>IF(COUNTA(B804:C804)=0,"",796)</f>
        <v/>
      </c>
      <c r="B804" s="8"/>
      <c r="C804" s="9"/>
      <c r="D804" s="10" t="str">
        <f t="shared" si="72"/>
        <v/>
      </c>
      <c r="E804" s="1"/>
      <c r="F804" s="11" t="str">
        <f t="shared" si="73"/>
        <v/>
      </c>
      <c r="G804" s="11" t="str">
        <f t="shared" si="74"/>
        <v/>
      </c>
      <c r="H804" s="11" t="str">
        <f t="shared" si="75"/>
        <v/>
      </c>
      <c r="I804" s="12" t="str">
        <f t="shared" si="76"/>
        <v/>
      </c>
      <c r="J804" s="13" t="str">
        <f t="shared" si="77"/>
        <v/>
      </c>
    </row>
    <row r="805" spans="1:10" ht="23.1" customHeight="1">
      <c r="A805" s="1" t="str">
        <f>IF(COUNTA(B805:C805)=0,"",797)</f>
        <v/>
      </c>
      <c r="B805" s="8"/>
      <c r="C805" s="9"/>
      <c r="D805" s="10" t="str">
        <f t="shared" si="72"/>
        <v/>
      </c>
      <c r="E805" s="1"/>
      <c r="F805" s="11" t="str">
        <f t="shared" si="73"/>
        <v/>
      </c>
      <c r="G805" s="11" t="str">
        <f t="shared" si="74"/>
        <v/>
      </c>
      <c r="H805" s="11" t="str">
        <f t="shared" si="75"/>
        <v/>
      </c>
      <c r="I805" s="12" t="str">
        <f t="shared" si="76"/>
        <v/>
      </c>
      <c r="J805" s="13" t="str">
        <f t="shared" si="77"/>
        <v/>
      </c>
    </row>
    <row r="806" spans="1:10" ht="23.1" customHeight="1">
      <c r="A806" s="1" t="str">
        <f>IF(COUNTA(B806:C806)=0,"",798)</f>
        <v/>
      </c>
      <c r="B806" s="8"/>
      <c r="C806" s="9"/>
      <c r="D806" s="10" t="str">
        <f t="shared" si="72"/>
        <v/>
      </c>
      <c r="E806" s="1"/>
      <c r="F806" s="11" t="str">
        <f t="shared" si="73"/>
        <v/>
      </c>
      <c r="G806" s="11" t="str">
        <f t="shared" si="74"/>
        <v/>
      </c>
      <c r="H806" s="11" t="str">
        <f t="shared" si="75"/>
        <v/>
      </c>
      <c r="I806" s="12" t="str">
        <f t="shared" si="76"/>
        <v/>
      </c>
      <c r="J806" s="13" t="str">
        <f t="shared" si="77"/>
        <v/>
      </c>
    </row>
    <row r="807" spans="1:10" ht="23.1" customHeight="1">
      <c r="A807" s="1" t="str">
        <f>IF(COUNTA(B807:C807)=0,"",799)</f>
        <v/>
      </c>
      <c r="B807" s="8"/>
      <c r="C807" s="9"/>
      <c r="D807" s="10" t="str">
        <f t="shared" si="72"/>
        <v/>
      </c>
      <c r="E807" s="1"/>
      <c r="F807" s="11" t="str">
        <f t="shared" si="73"/>
        <v/>
      </c>
      <c r="G807" s="11" t="str">
        <f t="shared" si="74"/>
        <v/>
      </c>
      <c r="H807" s="11" t="str">
        <f t="shared" si="75"/>
        <v/>
      </c>
      <c r="I807" s="12" t="str">
        <f t="shared" si="76"/>
        <v/>
      </c>
      <c r="J807" s="13" t="str">
        <f t="shared" si="77"/>
        <v/>
      </c>
    </row>
    <row r="808" spans="1:10" ht="23.1" customHeight="1">
      <c r="A808" s="1" t="str">
        <f>IF(COUNTA(B808:C808)=0,"",800)</f>
        <v/>
      </c>
      <c r="B808" s="8"/>
      <c r="C808" s="9"/>
      <c r="D808" s="10" t="str">
        <f t="shared" si="72"/>
        <v/>
      </c>
      <c r="E808" s="1"/>
      <c r="F808" s="11" t="str">
        <f t="shared" si="73"/>
        <v/>
      </c>
      <c r="G808" s="11" t="str">
        <f t="shared" si="74"/>
        <v/>
      </c>
      <c r="H808" s="11" t="str">
        <f t="shared" si="75"/>
        <v/>
      </c>
      <c r="I808" s="12" t="str">
        <f t="shared" si="76"/>
        <v/>
      </c>
      <c r="J808" s="13" t="str">
        <f t="shared" si="77"/>
        <v/>
      </c>
    </row>
    <row r="809" spans="1:10" ht="23.1" customHeight="1">
      <c r="A809" s="1" t="str">
        <f>IF(COUNTA(B809:C809)=0,"",801)</f>
        <v/>
      </c>
      <c r="B809" s="8"/>
      <c r="C809" s="9"/>
      <c r="D809" s="10" t="str">
        <f t="shared" si="72"/>
        <v/>
      </c>
      <c r="E809" s="1"/>
      <c r="F809" s="11" t="str">
        <f t="shared" si="73"/>
        <v/>
      </c>
      <c r="G809" s="11" t="str">
        <f t="shared" si="74"/>
        <v/>
      </c>
      <c r="H809" s="11" t="str">
        <f t="shared" si="75"/>
        <v/>
      </c>
      <c r="I809" s="12" t="str">
        <f t="shared" si="76"/>
        <v/>
      </c>
      <c r="J809" s="13" t="str">
        <f t="shared" si="77"/>
        <v/>
      </c>
    </row>
    <row r="810" spans="1:10" ht="23.1" customHeight="1">
      <c r="A810" s="1" t="str">
        <f>IF(COUNTA(B810:C810)=0,"",802)</f>
        <v/>
      </c>
      <c r="B810" s="8"/>
      <c r="C810" s="9"/>
      <c r="D810" s="10" t="str">
        <f t="shared" si="72"/>
        <v/>
      </c>
      <c r="E810" s="1"/>
      <c r="F810" s="11" t="str">
        <f t="shared" si="73"/>
        <v/>
      </c>
      <c r="G810" s="11" t="str">
        <f t="shared" si="74"/>
        <v/>
      </c>
      <c r="H810" s="11" t="str">
        <f t="shared" si="75"/>
        <v/>
      </c>
      <c r="I810" s="12" t="str">
        <f t="shared" si="76"/>
        <v/>
      </c>
      <c r="J810" s="13" t="str">
        <f t="shared" si="77"/>
        <v/>
      </c>
    </row>
    <row r="811" spans="1:10" ht="23.1" customHeight="1">
      <c r="A811" s="1" t="str">
        <f>IF(COUNTA(B811:C811)=0,"",803)</f>
        <v/>
      </c>
      <c r="B811" s="8"/>
      <c r="C811" s="9"/>
      <c r="D811" s="10" t="str">
        <f t="shared" si="72"/>
        <v/>
      </c>
      <c r="E811" s="1"/>
      <c r="F811" s="11" t="str">
        <f t="shared" si="73"/>
        <v/>
      </c>
      <c r="G811" s="11" t="str">
        <f t="shared" si="74"/>
        <v/>
      </c>
      <c r="H811" s="11" t="str">
        <f t="shared" si="75"/>
        <v/>
      </c>
      <c r="I811" s="12" t="str">
        <f t="shared" si="76"/>
        <v/>
      </c>
      <c r="J811" s="13" t="str">
        <f t="shared" si="77"/>
        <v/>
      </c>
    </row>
    <row r="812" spans="1:10" ht="23.1" customHeight="1">
      <c r="A812" s="1" t="str">
        <f>IF(COUNTA(B812:C812)=0,"",804)</f>
        <v/>
      </c>
      <c r="B812" s="8"/>
      <c r="C812" s="9"/>
      <c r="D812" s="10" t="str">
        <f t="shared" si="72"/>
        <v/>
      </c>
      <c r="E812" s="1"/>
      <c r="F812" s="11" t="str">
        <f t="shared" si="73"/>
        <v/>
      </c>
      <c r="G812" s="11" t="str">
        <f t="shared" si="74"/>
        <v/>
      </c>
      <c r="H812" s="11" t="str">
        <f t="shared" si="75"/>
        <v/>
      </c>
      <c r="I812" s="12" t="str">
        <f t="shared" si="76"/>
        <v/>
      </c>
      <c r="J812" s="13" t="str">
        <f t="shared" si="77"/>
        <v/>
      </c>
    </row>
    <row r="813" spans="1:10" ht="23.1" customHeight="1">
      <c r="A813" s="1" t="str">
        <f>IF(COUNTA(B813:C813)=0,"",805)</f>
        <v/>
      </c>
      <c r="B813" s="8"/>
      <c r="C813" s="9"/>
      <c r="D813" s="10" t="str">
        <f t="shared" si="72"/>
        <v/>
      </c>
      <c r="E813" s="1"/>
      <c r="F813" s="11" t="str">
        <f t="shared" si="73"/>
        <v/>
      </c>
      <c r="G813" s="11" t="str">
        <f t="shared" si="74"/>
        <v/>
      </c>
      <c r="H813" s="11" t="str">
        <f t="shared" si="75"/>
        <v/>
      </c>
      <c r="I813" s="12" t="str">
        <f t="shared" si="76"/>
        <v/>
      </c>
      <c r="J813" s="13" t="str">
        <f t="shared" si="77"/>
        <v/>
      </c>
    </row>
    <row r="814" spans="1:10" ht="23.1" customHeight="1">
      <c r="A814" s="1" t="str">
        <f>IF(COUNTA(B814:C814)=0,"",806)</f>
        <v/>
      </c>
      <c r="B814" s="8"/>
      <c r="C814" s="9"/>
      <c r="D814" s="10" t="str">
        <f t="shared" si="72"/>
        <v/>
      </c>
      <c r="E814" s="1"/>
      <c r="F814" s="11" t="str">
        <f t="shared" si="73"/>
        <v/>
      </c>
      <c r="G814" s="11" t="str">
        <f t="shared" si="74"/>
        <v/>
      </c>
      <c r="H814" s="11" t="str">
        <f t="shared" si="75"/>
        <v/>
      </c>
      <c r="I814" s="12" t="str">
        <f t="shared" si="76"/>
        <v/>
      </c>
      <c r="J814" s="13" t="str">
        <f t="shared" si="77"/>
        <v/>
      </c>
    </row>
    <row r="815" spans="1:10" ht="23.1" customHeight="1">
      <c r="A815" s="1" t="str">
        <f>IF(COUNTA(B815:C815)=0,"",807)</f>
        <v/>
      </c>
      <c r="B815" s="8"/>
      <c r="C815" s="9"/>
      <c r="D815" s="10" t="str">
        <f t="shared" si="72"/>
        <v/>
      </c>
      <c r="E815" s="1"/>
      <c r="F815" s="11" t="str">
        <f t="shared" si="73"/>
        <v/>
      </c>
      <c r="G815" s="11" t="str">
        <f t="shared" si="74"/>
        <v/>
      </c>
      <c r="H815" s="11" t="str">
        <f t="shared" si="75"/>
        <v/>
      </c>
      <c r="I815" s="12" t="str">
        <f t="shared" si="76"/>
        <v/>
      </c>
      <c r="J815" s="13" t="str">
        <f t="shared" si="77"/>
        <v/>
      </c>
    </row>
    <row r="816" spans="1:10" ht="23.1" customHeight="1">
      <c r="A816" s="1" t="str">
        <f>IF(COUNTA(B816:C816)=0,"",808)</f>
        <v/>
      </c>
      <c r="B816" s="8"/>
      <c r="C816" s="9"/>
      <c r="D816" s="10" t="str">
        <f t="shared" si="72"/>
        <v/>
      </c>
      <c r="E816" s="1"/>
      <c r="F816" s="11" t="str">
        <f t="shared" si="73"/>
        <v/>
      </c>
      <c r="G816" s="11" t="str">
        <f t="shared" si="74"/>
        <v/>
      </c>
      <c r="H816" s="11" t="str">
        <f t="shared" si="75"/>
        <v/>
      </c>
      <c r="I816" s="12" t="str">
        <f t="shared" si="76"/>
        <v/>
      </c>
      <c r="J816" s="13" t="str">
        <f t="shared" si="77"/>
        <v/>
      </c>
    </row>
    <row r="817" spans="1:10" ht="23.1" customHeight="1">
      <c r="A817" s="1" t="str">
        <f>IF(COUNTA(B817:C817)=0,"",809)</f>
        <v/>
      </c>
      <c r="B817" s="8"/>
      <c r="C817" s="9"/>
      <c r="D817" s="10" t="str">
        <f t="shared" si="72"/>
        <v/>
      </c>
      <c r="E817" s="1"/>
      <c r="F817" s="11" t="str">
        <f t="shared" si="73"/>
        <v/>
      </c>
      <c r="G817" s="11" t="str">
        <f t="shared" si="74"/>
        <v/>
      </c>
      <c r="H817" s="11" t="str">
        <f t="shared" si="75"/>
        <v/>
      </c>
      <c r="I817" s="12" t="str">
        <f t="shared" si="76"/>
        <v/>
      </c>
      <c r="J817" s="13" t="str">
        <f t="shared" si="77"/>
        <v/>
      </c>
    </row>
    <row r="818" spans="1:10" ht="23.1" customHeight="1">
      <c r="A818" s="1" t="str">
        <f>IF(COUNTA(B818:C818)=0,"",810)</f>
        <v/>
      </c>
      <c r="B818" s="8"/>
      <c r="C818" s="9"/>
      <c r="D818" s="10" t="str">
        <f t="shared" si="72"/>
        <v/>
      </c>
      <c r="E818" s="1"/>
      <c r="F818" s="11" t="str">
        <f t="shared" si="73"/>
        <v/>
      </c>
      <c r="G818" s="11" t="str">
        <f t="shared" si="74"/>
        <v/>
      </c>
      <c r="H818" s="11" t="str">
        <f t="shared" si="75"/>
        <v/>
      </c>
      <c r="I818" s="12" t="str">
        <f t="shared" si="76"/>
        <v/>
      </c>
      <c r="J818" s="13" t="str">
        <f t="shared" si="77"/>
        <v/>
      </c>
    </row>
    <row r="819" spans="1:10" ht="23.1" customHeight="1">
      <c r="A819" s="1" t="str">
        <f>IF(COUNTA(B819:C819)=0,"",811)</f>
        <v/>
      </c>
      <c r="B819" s="8"/>
      <c r="C819" s="9"/>
      <c r="D819" s="10" t="str">
        <f t="shared" si="72"/>
        <v/>
      </c>
      <c r="E819" s="1"/>
      <c r="F819" s="11" t="str">
        <f t="shared" si="73"/>
        <v/>
      </c>
      <c r="G819" s="11" t="str">
        <f t="shared" si="74"/>
        <v/>
      </c>
      <c r="H819" s="11" t="str">
        <f t="shared" si="75"/>
        <v/>
      </c>
      <c r="I819" s="12" t="str">
        <f t="shared" si="76"/>
        <v/>
      </c>
      <c r="J819" s="13" t="str">
        <f t="shared" si="77"/>
        <v/>
      </c>
    </row>
    <row r="820" spans="1:10" ht="23.1" customHeight="1">
      <c r="A820" s="1" t="str">
        <f>IF(COUNTA(B820:C820)=0,"",812)</f>
        <v/>
      </c>
      <c r="B820" s="8"/>
      <c r="C820" s="9"/>
      <c r="D820" s="10" t="str">
        <f t="shared" si="72"/>
        <v/>
      </c>
      <c r="E820" s="1"/>
      <c r="F820" s="11" t="str">
        <f t="shared" si="73"/>
        <v/>
      </c>
      <c r="G820" s="11" t="str">
        <f t="shared" si="74"/>
        <v/>
      </c>
      <c r="H820" s="11" t="str">
        <f t="shared" si="75"/>
        <v/>
      </c>
      <c r="I820" s="12" t="str">
        <f t="shared" si="76"/>
        <v/>
      </c>
      <c r="J820" s="13" t="str">
        <f t="shared" si="77"/>
        <v/>
      </c>
    </row>
    <row r="821" spans="1:10" ht="23.1" customHeight="1">
      <c r="A821" s="1" t="str">
        <f>IF(COUNTA(B821:C821)=0,"",813)</f>
        <v/>
      </c>
      <c r="B821" s="8"/>
      <c r="C821" s="9"/>
      <c r="D821" s="10" t="str">
        <f t="shared" si="72"/>
        <v/>
      </c>
      <c r="E821" s="1"/>
      <c r="F821" s="11" t="str">
        <f t="shared" si="73"/>
        <v/>
      </c>
      <c r="G821" s="11" t="str">
        <f t="shared" si="74"/>
        <v/>
      </c>
      <c r="H821" s="11" t="str">
        <f t="shared" si="75"/>
        <v/>
      </c>
      <c r="I821" s="12" t="str">
        <f t="shared" si="76"/>
        <v/>
      </c>
      <c r="J821" s="13" t="str">
        <f t="shared" si="77"/>
        <v/>
      </c>
    </row>
    <row r="822" spans="1:10" ht="23.1" customHeight="1">
      <c r="A822" s="1" t="str">
        <f>IF(COUNTA(B822:C822)=0,"",814)</f>
        <v/>
      </c>
      <c r="B822" s="8"/>
      <c r="C822" s="9"/>
      <c r="D822" s="10" t="str">
        <f t="shared" si="72"/>
        <v/>
      </c>
      <c r="E822" s="1"/>
      <c r="F822" s="11" t="str">
        <f t="shared" si="73"/>
        <v/>
      </c>
      <c r="G822" s="11" t="str">
        <f t="shared" si="74"/>
        <v/>
      </c>
      <c r="H822" s="11" t="str">
        <f t="shared" si="75"/>
        <v/>
      </c>
      <c r="I822" s="12" t="str">
        <f t="shared" si="76"/>
        <v/>
      </c>
      <c r="J822" s="13" t="str">
        <f t="shared" si="77"/>
        <v/>
      </c>
    </row>
    <row r="823" spans="1:10" ht="23.1" customHeight="1">
      <c r="A823" s="1" t="str">
        <f>IF(COUNTA(B823:C823)=0,"",815)</f>
        <v/>
      </c>
      <c r="B823" s="8"/>
      <c r="C823" s="9"/>
      <c r="D823" s="10" t="str">
        <f t="shared" si="72"/>
        <v/>
      </c>
      <c r="E823" s="1"/>
      <c r="F823" s="11" t="str">
        <f t="shared" si="73"/>
        <v/>
      </c>
      <c r="G823" s="11" t="str">
        <f t="shared" si="74"/>
        <v/>
      </c>
      <c r="H823" s="11" t="str">
        <f t="shared" si="75"/>
        <v/>
      </c>
      <c r="I823" s="12" t="str">
        <f t="shared" si="76"/>
        <v/>
      </c>
      <c r="J823" s="13" t="str">
        <f t="shared" si="77"/>
        <v/>
      </c>
    </row>
    <row r="824" spans="1:10" ht="23.1" customHeight="1">
      <c r="A824" s="1" t="str">
        <f>IF(COUNTA(B824:C824)=0,"",816)</f>
        <v/>
      </c>
      <c r="B824" s="8"/>
      <c r="C824" s="9"/>
      <c r="D824" s="10" t="str">
        <f t="shared" si="72"/>
        <v/>
      </c>
      <c r="E824" s="1"/>
      <c r="F824" s="11" t="str">
        <f t="shared" si="73"/>
        <v/>
      </c>
      <c r="G824" s="11" t="str">
        <f t="shared" si="74"/>
        <v/>
      </c>
      <c r="H824" s="11" t="str">
        <f t="shared" si="75"/>
        <v/>
      </c>
      <c r="I824" s="12" t="str">
        <f t="shared" si="76"/>
        <v/>
      </c>
      <c r="J824" s="13" t="str">
        <f t="shared" si="77"/>
        <v/>
      </c>
    </row>
    <row r="825" spans="1:10" ht="23.1" customHeight="1">
      <c r="A825" s="1" t="str">
        <f>IF(COUNTA(B825:C825)=0,"",817)</f>
        <v/>
      </c>
      <c r="B825" s="8"/>
      <c r="C825" s="9"/>
      <c r="D825" s="10" t="str">
        <f t="shared" si="72"/>
        <v/>
      </c>
      <c r="E825" s="1"/>
      <c r="F825" s="11" t="str">
        <f t="shared" si="73"/>
        <v/>
      </c>
      <c r="G825" s="11" t="str">
        <f t="shared" si="74"/>
        <v/>
      </c>
      <c r="H825" s="11" t="str">
        <f t="shared" si="75"/>
        <v/>
      </c>
      <c r="I825" s="12" t="str">
        <f t="shared" si="76"/>
        <v/>
      </c>
      <c r="J825" s="13" t="str">
        <f t="shared" si="77"/>
        <v/>
      </c>
    </row>
    <row r="826" spans="1:10" ht="23.1" customHeight="1">
      <c r="A826" s="1" t="str">
        <f>IF(COUNTA(B826:C826)=0,"",818)</f>
        <v/>
      </c>
      <c r="B826" s="8"/>
      <c r="C826" s="9"/>
      <c r="D826" s="10" t="str">
        <f t="shared" si="72"/>
        <v/>
      </c>
      <c r="E826" s="1"/>
      <c r="F826" s="11" t="str">
        <f t="shared" si="73"/>
        <v/>
      </c>
      <c r="G826" s="11" t="str">
        <f t="shared" si="74"/>
        <v/>
      </c>
      <c r="H826" s="11" t="str">
        <f t="shared" si="75"/>
        <v/>
      </c>
      <c r="I826" s="12" t="str">
        <f t="shared" si="76"/>
        <v/>
      </c>
      <c r="J826" s="13" t="str">
        <f t="shared" si="77"/>
        <v/>
      </c>
    </row>
    <row r="827" spans="1:10" ht="23.1" customHeight="1">
      <c r="A827" s="1" t="str">
        <f>IF(COUNTA(B827:C827)=0,"",819)</f>
        <v/>
      </c>
      <c r="B827" s="8"/>
      <c r="C827" s="9"/>
      <c r="D827" s="10" t="str">
        <f t="shared" si="72"/>
        <v/>
      </c>
      <c r="E827" s="1"/>
      <c r="F827" s="11" t="str">
        <f t="shared" si="73"/>
        <v/>
      </c>
      <c r="G827" s="11" t="str">
        <f t="shared" si="74"/>
        <v/>
      </c>
      <c r="H827" s="11" t="str">
        <f t="shared" si="75"/>
        <v/>
      </c>
      <c r="I827" s="12" t="str">
        <f t="shared" si="76"/>
        <v/>
      </c>
      <c r="J827" s="13" t="str">
        <f t="shared" si="77"/>
        <v/>
      </c>
    </row>
    <row r="828" spans="1:10" ht="23.1" customHeight="1">
      <c r="A828" s="1" t="str">
        <f>IF(COUNTA(B828:C828)=0,"",820)</f>
        <v/>
      </c>
      <c r="B828" s="8"/>
      <c r="C828" s="9"/>
      <c r="D828" s="10" t="str">
        <f t="shared" si="72"/>
        <v/>
      </c>
      <c r="E828" s="1"/>
      <c r="F828" s="11" t="str">
        <f t="shared" si="73"/>
        <v/>
      </c>
      <c r="G828" s="11" t="str">
        <f t="shared" si="74"/>
        <v/>
      </c>
      <c r="H828" s="11" t="str">
        <f t="shared" si="75"/>
        <v/>
      </c>
      <c r="I828" s="12" t="str">
        <f t="shared" si="76"/>
        <v/>
      </c>
      <c r="J828" s="13" t="str">
        <f t="shared" si="77"/>
        <v/>
      </c>
    </row>
    <row r="829" spans="1:10" ht="23.1" customHeight="1">
      <c r="A829" s="1" t="str">
        <f>IF(COUNTA(B829:C829)=0,"",821)</f>
        <v/>
      </c>
      <c r="B829" s="8"/>
      <c r="C829" s="9"/>
      <c r="D829" s="10" t="str">
        <f t="shared" si="72"/>
        <v/>
      </c>
      <c r="E829" s="1"/>
      <c r="F829" s="11" t="str">
        <f t="shared" si="73"/>
        <v/>
      </c>
      <c r="G829" s="11" t="str">
        <f t="shared" si="74"/>
        <v/>
      </c>
      <c r="H829" s="11" t="str">
        <f t="shared" si="75"/>
        <v/>
      </c>
      <c r="I829" s="12" t="str">
        <f t="shared" si="76"/>
        <v/>
      </c>
      <c r="J829" s="13" t="str">
        <f t="shared" si="77"/>
        <v/>
      </c>
    </row>
    <row r="830" spans="1:10" ht="23.1" customHeight="1">
      <c r="A830" s="1" t="str">
        <f>IF(COUNTA(B830:C830)=0,"",822)</f>
        <v/>
      </c>
      <c r="B830" s="8"/>
      <c r="C830" s="9"/>
      <c r="D830" s="10" t="str">
        <f t="shared" si="72"/>
        <v/>
      </c>
      <c r="E830" s="1"/>
      <c r="F830" s="11" t="str">
        <f t="shared" si="73"/>
        <v/>
      </c>
      <c r="G830" s="11" t="str">
        <f t="shared" si="74"/>
        <v/>
      </c>
      <c r="H830" s="11" t="str">
        <f t="shared" si="75"/>
        <v/>
      </c>
      <c r="I830" s="12" t="str">
        <f t="shared" si="76"/>
        <v/>
      </c>
      <c r="J830" s="13" t="str">
        <f t="shared" si="77"/>
        <v/>
      </c>
    </row>
    <row r="831" spans="1:10" ht="23.1" customHeight="1">
      <c r="A831" s="1" t="str">
        <f>IF(COUNTA(B831:C831)=0,"",823)</f>
        <v/>
      </c>
      <c r="B831" s="8"/>
      <c r="C831" s="9"/>
      <c r="D831" s="10" t="str">
        <f t="shared" si="72"/>
        <v/>
      </c>
      <c r="E831" s="1"/>
      <c r="F831" s="11" t="str">
        <f t="shared" si="73"/>
        <v/>
      </c>
      <c r="G831" s="11" t="str">
        <f t="shared" si="74"/>
        <v/>
      </c>
      <c r="H831" s="11" t="str">
        <f t="shared" si="75"/>
        <v/>
      </c>
      <c r="I831" s="12" t="str">
        <f t="shared" si="76"/>
        <v/>
      </c>
      <c r="J831" s="13" t="str">
        <f t="shared" si="77"/>
        <v/>
      </c>
    </row>
    <row r="832" spans="1:10" ht="23.1" customHeight="1">
      <c r="A832" s="1" t="str">
        <f>IF(COUNTA(B832:C832)=0,"",824)</f>
        <v/>
      </c>
      <c r="B832" s="8"/>
      <c r="C832" s="9"/>
      <c r="D832" s="10" t="str">
        <f t="shared" si="72"/>
        <v/>
      </c>
      <c r="E832" s="1"/>
      <c r="F832" s="11" t="str">
        <f t="shared" si="73"/>
        <v/>
      </c>
      <c r="G832" s="11" t="str">
        <f t="shared" si="74"/>
        <v/>
      </c>
      <c r="H832" s="11" t="str">
        <f t="shared" si="75"/>
        <v/>
      </c>
      <c r="I832" s="12" t="str">
        <f t="shared" si="76"/>
        <v/>
      </c>
      <c r="J832" s="13" t="str">
        <f t="shared" si="77"/>
        <v/>
      </c>
    </row>
    <row r="833" spans="1:10" ht="23.1" customHeight="1">
      <c r="A833" s="1" t="str">
        <f>IF(COUNTA(B833:C833)=0,"",825)</f>
        <v/>
      </c>
      <c r="B833" s="8"/>
      <c r="C833" s="9"/>
      <c r="D833" s="10" t="str">
        <f t="shared" si="72"/>
        <v/>
      </c>
      <c r="E833" s="1"/>
      <c r="F833" s="11" t="str">
        <f t="shared" si="73"/>
        <v/>
      </c>
      <c r="G833" s="11" t="str">
        <f t="shared" si="74"/>
        <v/>
      </c>
      <c r="H833" s="11" t="str">
        <f t="shared" si="75"/>
        <v/>
      </c>
      <c r="I833" s="12" t="str">
        <f t="shared" si="76"/>
        <v/>
      </c>
      <c r="J833" s="13" t="str">
        <f t="shared" si="77"/>
        <v/>
      </c>
    </row>
    <row r="834" spans="1:10" ht="23.1" customHeight="1">
      <c r="A834" s="1" t="str">
        <f>IF(COUNTA(B834:C834)=0,"",826)</f>
        <v/>
      </c>
      <c r="B834" s="8"/>
      <c r="C834" s="9"/>
      <c r="D834" s="10" t="str">
        <f t="shared" si="72"/>
        <v/>
      </c>
      <c r="E834" s="1"/>
      <c r="F834" s="11" t="str">
        <f t="shared" si="73"/>
        <v/>
      </c>
      <c r="G834" s="11" t="str">
        <f t="shared" si="74"/>
        <v/>
      </c>
      <c r="H834" s="11" t="str">
        <f t="shared" si="75"/>
        <v/>
      </c>
      <c r="I834" s="12" t="str">
        <f t="shared" si="76"/>
        <v/>
      </c>
      <c r="J834" s="13" t="str">
        <f t="shared" si="77"/>
        <v/>
      </c>
    </row>
    <row r="835" spans="1:10" ht="23.1" customHeight="1">
      <c r="A835" s="1" t="str">
        <f>IF(COUNTA(B835:C835)=0,"",827)</f>
        <v/>
      </c>
      <c r="B835" s="8"/>
      <c r="C835" s="9"/>
      <c r="D835" s="10" t="str">
        <f t="shared" si="72"/>
        <v/>
      </c>
      <c r="E835" s="1"/>
      <c r="F835" s="11" t="str">
        <f t="shared" si="73"/>
        <v/>
      </c>
      <c r="G835" s="11" t="str">
        <f t="shared" si="74"/>
        <v/>
      </c>
      <c r="H835" s="11" t="str">
        <f t="shared" si="75"/>
        <v/>
      </c>
      <c r="I835" s="12" t="str">
        <f t="shared" si="76"/>
        <v/>
      </c>
      <c r="J835" s="13" t="str">
        <f t="shared" si="77"/>
        <v/>
      </c>
    </row>
    <row r="836" spans="1:10" ht="23.1" customHeight="1">
      <c r="A836" s="1" t="str">
        <f>IF(COUNTA(B836:C836)=0,"",828)</f>
        <v/>
      </c>
      <c r="B836" s="8"/>
      <c r="C836" s="9"/>
      <c r="D836" s="10" t="str">
        <f t="shared" si="72"/>
        <v/>
      </c>
      <c r="E836" s="1"/>
      <c r="F836" s="11" t="str">
        <f t="shared" si="73"/>
        <v/>
      </c>
      <c r="G836" s="11" t="str">
        <f t="shared" si="74"/>
        <v/>
      </c>
      <c r="H836" s="11" t="str">
        <f t="shared" si="75"/>
        <v/>
      </c>
      <c r="I836" s="12" t="str">
        <f t="shared" si="76"/>
        <v/>
      </c>
      <c r="J836" s="13" t="str">
        <f t="shared" si="77"/>
        <v/>
      </c>
    </row>
    <row r="837" spans="1:10" ht="23.1" customHeight="1">
      <c r="A837" s="1" t="str">
        <f>IF(COUNTA(B837:C837)=0,"",829)</f>
        <v/>
      </c>
      <c r="B837" s="8"/>
      <c r="C837" s="9"/>
      <c r="D837" s="10" t="str">
        <f t="shared" si="72"/>
        <v/>
      </c>
      <c r="E837" s="1"/>
      <c r="F837" s="11" t="str">
        <f t="shared" si="73"/>
        <v/>
      </c>
      <c r="G837" s="11" t="str">
        <f t="shared" si="74"/>
        <v/>
      </c>
      <c r="H837" s="11" t="str">
        <f t="shared" si="75"/>
        <v/>
      </c>
      <c r="I837" s="12" t="str">
        <f t="shared" si="76"/>
        <v/>
      </c>
      <c r="J837" s="13" t="str">
        <f t="shared" si="77"/>
        <v/>
      </c>
    </row>
    <row r="838" spans="1:10" ht="23.1" customHeight="1">
      <c r="A838" s="1" t="str">
        <f>IF(COUNTA(B838:C838)=0,"",830)</f>
        <v/>
      </c>
      <c r="B838" s="8"/>
      <c r="C838" s="9"/>
      <c r="D838" s="10" t="str">
        <f t="shared" si="72"/>
        <v/>
      </c>
      <c r="E838" s="1"/>
      <c r="F838" s="11" t="str">
        <f t="shared" si="73"/>
        <v/>
      </c>
      <c r="G838" s="11" t="str">
        <f t="shared" si="74"/>
        <v/>
      </c>
      <c r="H838" s="11" t="str">
        <f t="shared" si="75"/>
        <v/>
      </c>
      <c r="I838" s="12" t="str">
        <f t="shared" si="76"/>
        <v/>
      </c>
      <c r="J838" s="13" t="str">
        <f t="shared" si="77"/>
        <v/>
      </c>
    </row>
    <row r="839" spans="1:10" ht="23.1" customHeight="1">
      <c r="A839" s="1" t="str">
        <f>IF(COUNTA(B839:C839)=0,"",831)</f>
        <v/>
      </c>
      <c r="B839" s="8"/>
      <c r="C839" s="9"/>
      <c r="D839" s="10" t="str">
        <f t="shared" si="72"/>
        <v/>
      </c>
      <c r="E839" s="1"/>
      <c r="F839" s="11" t="str">
        <f t="shared" si="73"/>
        <v/>
      </c>
      <c r="G839" s="11" t="str">
        <f t="shared" si="74"/>
        <v/>
      </c>
      <c r="H839" s="11" t="str">
        <f t="shared" si="75"/>
        <v/>
      </c>
      <c r="I839" s="12" t="str">
        <f t="shared" si="76"/>
        <v/>
      </c>
      <c r="J839" s="13" t="str">
        <f t="shared" si="77"/>
        <v/>
      </c>
    </row>
    <row r="840" spans="1:10" ht="23.1" customHeight="1">
      <c r="A840" s="1" t="str">
        <f>IF(COUNTA(B840:C840)=0,"",832)</f>
        <v/>
      </c>
      <c r="B840" s="8"/>
      <c r="C840" s="9"/>
      <c r="D840" s="10" t="str">
        <f t="shared" si="72"/>
        <v/>
      </c>
      <c r="E840" s="1"/>
      <c r="F840" s="11" t="str">
        <f t="shared" si="73"/>
        <v/>
      </c>
      <c r="G840" s="11" t="str">
        <f t="shared" si="74"/>
        <v/>
      </c>
      <c r="H840" s="11" t="str">
        <f t="shared" si="75"/>
        <v/>
      </c>
      <c r="I840" s="12" t="str">
        <f t="shared" si="76"/>
        <v/>
      </c>
      <c r="J840" s="13" t="str">
        <f t="shared" si="77"/>
        <v/>
      </c>
    </row>
    <row r="841" spans="1:10" ht="23.1" customHeight="1">
      <c r="A841" s="1" t="str">
        <f>IF(COUNTA(B841:C841)=0,"",833)</f>
        <v/>
      </c>
      <c r="B841" s="8"/>
      <c r="C841" s="9"/>
      <c r="D841" s="10" t="str">
        <f t="shared" ref="D841:D904" si="78">IF(NOT(ISNUMBER(C841)),"",ROUND(C841*30%,2))</f>
        <v/>
      </c>
      <c r="E841" s="1"/>
      <c r="F841" s="11" t="str">
        <f t="shared" ref="F841:F904" si="79">IF(NOT(ISNUMBER(C841)),"",ROUND(H841*30%,2))</f>
        <v/>
      </c>
      <c r="G841" s="11" t="str">
        <f t="shared" ref="G841:G904" si="80">IF(NOT(ISNUMBER(C841)),"",ROUND(H841-F841,2))</f>
        <v/>
      </c>
      <c r="H841" s="11" t="str">
        <f t="shared" ref="H841:H904" si="81">IF(NOT(ISNUMBER(C841)),"",ROUND(C841-D841,2))</f>
        <v/>
      </c>
      <c r="I841" s="12" t="str">
        <f t="shared" ref="I841:I904" si="82">IF(NOT(ISNUMBER(C841)),"",ROUND(C841-SUM(D841,F841:G841),2))</f>
        <v/>
      </c>
      <c r="J841" s="13" t="str">
        <f t="shared" ref="J841:J904" si="83">IF(COUNTA(B841:C841)=0,"",IF(B841="","Falta apartamento",IF(NOT(ISNUMBER(C841)),"Falta valor","Completo")))</f>
        <v/>
      </c>
    </row>
    <row r="842" spans="1:10" ht="23.1" customHeight="1">
      <c r="A842" s="1" t="str">
        <f>IF(COUNTA(B842:C842)=0,"",834)</f>
        <v/>
      </c>
      <c r="B842" s="8"/>
      <c r="C842" s="9"/>
      <c r="D842" s="10" t="str">
        <f t="shared" si="78"/>
        <v/>
      </c>
      <c r="E842" s="1"/>
      <c r="F842" s="11" t="str">
        <f t="shared" si="79"/>
        <v/>
      </c>
      <c r="G842" s="11" t="str">
        <f t="shared" si="80"/>
        <v/>
      </c>
      <c r="H842" s="11" t="str">
        <f t="shared" si="81"/>
        <v/>
      </c>
      <c r="I842" s="12" t="str">
        <f t="shared" si="82"/>
        <v/>
      </c>
      <c r="J842" s="13" t="str">
        <f t="shared" si="83"/>
        <v/>
      </c>
    </row>
    <row r="843" spans="1:10" ht="23.1" customHeight="1">
      <c r="A843" s="1" t="str">
        <f>IF(COUNTA(B843:C843)=0,"",835)</f>
        <v/>
      </c>
      <c r="B843" s="8"/>
      <c r="C843" s="9"/>
      <c r="D843" s="10" t="str">
        <f t="shared" si="78"/>
        <v/>
      </c>
      <c r="E843" s="1"/>
      <c r="F843" s="11" t="str">
        <f t="shared" si="79"/>
        <v/>
      </c>
      <c r="G843" s="11" t="str">
        <f t="shared" si="80"/>
        <v/>
      </c>
      <c r="H843" s="11" t="str">
        <f t="shared" si="81"/>
        <v/>
      </c>
      <c r="I843" s="12" t="str">
        <f t="shared" si="82"/>
        <v/>
      </c>
      <c r="J843" s="13" t="str">
        <f t="shared" si="83"/>
        <v/>
      </c>
    </row>
    <row r="844" spans="1:10" ht="23.1" customHeight="1">
      <c r="A844" s="1" t="str">
        <f>IF(COUNTA(B844:C844)=0,"",836)</f>
        <v/>
      </c>
      <c r="B844" s="8"/>
      <c r="C844" s="9"/>
      <c r="D844" s="10" t="str">
        <f t="shared" si="78"/>
        <v/>
      </c>
      <c r="E844" s="1"/>
      <c r="F844" s="11" t="str">
        <f t="shared" si="79"/>
        <v/>
      </c>
      <c r="G844" s="11" t="str">
        <f t="shared" si="80"/>
        <v/>
      </c>
      <c r="H844" s="11" t="str">
        <f t="shared" si="81"/>
        <v/>
      </c>
      <c r="I844" s="12" t="str">
        <f t="shared" si="82"/>
        <v/>
      </c>
      <c r="J844" s="13" t="str">
        <f t="shared" si="83"/>
        <v/>
      </c>
    </row>
    <row r="845" spans="1:10" ht="23.1" customHeight="1">
      <c r="A845" s="1" t="str">
        <f>IF(COUNTA(B845:C845)=0,"",837)</f>
        <v/>
      </c>
      <c r="B845" s="8"/>
      <c r="C845" s="9"/>
      <c r="D845" s="10" t="str">
        <f t="shared" si="78"/>
        <v/>
      </c>
      <c r="E845" s="1"/>
      <c r="F845" s="11" t="str">
        <f t="shared" si="79"/>
        <v/>
      </c>
      <c r="G845" s="11" t="str">
        <f t="shared" si="80"/>
        <v/>
      </c>
      <c r="H845" s="11" t="str">
        <f t="shared" si="81"/>
        <v/>
      </c>
      <c r="I845" s="12" t="str">
        <f t="shared" si="82"/>
        <v/>
      </c>
      <c r="J845" s="13" t="str">
        <f t="shared" si="83"/>
        <v/>
      </c>
    </row>
    <row r="846" spans="1:10" ht="23.1" customHeight="1">
      <c r="A846" s="1" t="str">
        <f>IF(COUNTA(B846:C846)=0,"",838)</f>
        <v/>
      </c>
      <c r="B846" s="8"/>
      <c r="C846" s="9"/>
      <c r="D846" s="10" t="str">
        <f t="shared" si="78"/>
        <v/>
      </c>
      <c r="E846" s="1"/>
      <c r="F846" s="11" t="str">
        <f t="shared" si="79"/>
        <v/>
      </c>
      <c r="G846" s="11" t="str">
        <f t="shared" si="80"/>
        <v/>
      </c>
      <c r="H846" s="11" t="str">
        <f t="shared" si="81"/>
        <v/>
      </c>
      <c r="I846" s="12" t="str">
        <f t="shared" si="82"/>
        <v/>
      </c>
      <c r="J846" s="13" t="str">
        <f t="shared" si="83"/>
        <v/>
      </c>
    </row>
    <row r="847" spans="1:10" ht="23.1" customHeight="1">
      <c r="A847" s="1" t="str">
        <f>IF(COUNTA(B847:C847)=0,"",839)</f>
        <v/>
      </c>
      <c r="B847" s="8"/>
      <c r="C847" s="9"/>
      <c r="D847" s="10" t="str">
        <f t="shared" si="78"/>
        <v/>
      </c>
      <c r="E847" s="1"/>
      <c r="F847" s="11" t="str">
        <f t="shared" si="79"/>
        <v/>
      </c>
      <c r="G847" s="11" t="str">
        <f t="shared" si="80"/>
        <v/>
      </c>
      <c r="H847" s="11" t="str">
        <f t="shared" si="81"/>
        <v/>
      </c>
      <c r="I847" s="12" t="str">
        <f t="shared" si="82"/>
        <v/>
      </c>
      <c r="J847" s="13" t="str">
        <f t="shared" si="83"/>
        <v/>
      </c>
    </row>
    <row r="848" spans="1:10" ht="23.1" customHeight="1">
      <c r="A848" s="1" t="str">
        <f>IF(COUNTA(B848:C848)=0,"",840)</f>
        <v/>
      </c>
      <c r="B848" s="8"/>
      <c r="C848" s="9"/>
      <c r="D848" s="10" t="str">
        <f t="shared" si="78"/>
        <v/>
      </c>
      <c r="E848" s="1"/>
      <c r="F848" s="11" t="str">
        <f t="shared" si="79"/>
        <v/>
      </c>
      <c r="G848" s="11" t="str">
        <f t="shared" si="80"/>
        <v/>
      </c>
      <c r="H848" s="11" t="str">
        <f t="shared" si="81"/>
        <v/>
      </c>
      <c r="I848" s="12" t="str">
        <f t="shared" si="82"/>
        <v/>
      </c>
      <c r="J848" s="13" t="str">
        <f t="shared" si="83"/>
        <v/>
      </c>
    </row>
    <row r="849" spans="1:10" ht="23.1" customHeight="1">
      <c r="A849" s="1" t="str">
        <f>IF(COUNTA(B849:C849)=0,"",841)</f>
        <v/>
      </c>
      <c r="B849" s="8"/>
      <c r="C849" s="9"/>
      <c r="D849" s="10" t="str">
        <f t="shared" si="78"/>
        <v/>
      </c>
      <c r="E849" s="1"/>
      <c r="F849" s="11" t="str">
        <f t="shared" si="79"/>
        <v/>
      </c>
      <c r="G849" s="11" t="str">
        <f t="shared" si="80"/>
        <v/>
      </c>
      <c r="H849" s="11" t="str">
        <f t="shared" si="81"/>
        <v/>
      </c>
      <c r="I849" s="12" t="str">
        <f t="shared" si="82"/>
        <v/>
      </c>
      <c r="J849" s="13" t="str">
        <f t="shared" si="83"/>
        <v/>
      </c>
    </row>
    <row r="850" spans="1:10" ht="23.1" customHeight="1">
      <c r="A850" s="1" t="str">
        <f>IF(COUNTA(B850:C850)=0,"",842)</f>
        <v/>
      </c>
      <c r="B850" s="8"/>
      <c r="C850" s="9"/>
      <c r="D850" s="10" t="str">
        <f t="shared" si="78"/>
        <v/>
      </c>
      <c r="E850" s="1"/>
      <c r="F850" s="11" t="str">
        <f t="shared" si="79"/>
        <v/>
      </c>
      <c r="G850" s="11" t="str">
        <f t="shared" si="80"/>
        <v/>
      </c>
      <c r="H850" s="11" t="str">
        <f t="shared" si="81"/>
        <v/>
      </c>
      <c r="I850" s="12" t="str">
        <f t="shared" si="82"/>
        <v/>
      </c>
      <c r="J850" s="13" t="str">
        <f t="shared" si="83"/>
        <v/>
      </c>
    </row>
    <row r="851" spans="1:10" ht="23.1" customHeight="1">
      <c r="A851" s="1" t="str">
        <f>IF(COUNTA(B851:C851)=0,"",843)</f>
        <v/>
      </c>
      <c r="B851" s="8"/>
      <c r="C851" s="9"/>
      <c r="D851" s="10" t="str">
        <f t="shared" si="78"/>
        <v/>
      </c>
      <c r="E851" s="1"/>
      <c r="F851" s="11" t="str">
        <f t="shared" si="79"/>
        <v/>
      </c>
      <c r="G851" s="11" t="str">
        <f t="shared" si="80"/>
        <v/>
      </c>
      <c r="H851" s="11" t="str">
        <f t="shared" si="81"/>
        <v/>
      </c>
      <c r="I851" s="12" t="str">
        <f t="shared" si="82"/>
        <v/>
      </c>
      <c r="J851" s="13" t="str">
        <f t="shared" si="83"/>
        <v/>
      </c>
    </row>
    <row r="852" spans="1:10" ht="23.1" customHeight="1">
      <c r="A852" s="1" t="str">
        <f>IF(COUNTA(B852:C852)=0,"",844)</f>
        <v/>
      </c>
      <c r="B852" s="8"/>
      <c r="C852" s="9"/>
      <c r="D852" s="10" t="str">
        <f t="shared" si="78"/>
        <v/>
      </c>
      <c r="E852" s="1"/>
      <c r="F852" s="11" t="str">
        <f t="shared" si="79"/>
        <v/>
      </c>
      <c r="G852" s="11" t="str">
        <f t="shared" si="80"/>
        <v/>
      </c>
      <c r="H852" s="11" t="str">
        <f t="shared" si="81"/>
        <v/>
      </c>
      <c r="I852" s="12" t="str">
        <f t="shared" si="82"/>
        <v/>
      </c>
      <c r="J852" s="13" t="str">
        <f t="shared" si="83"/>
        <v/>
      </c>
    </row>
    <row r="853" spans="1:10" ht="23.1" customHeight="1">
      <c r="A853" s="1" t="str">
        <f>IF(COUNTA(B853:C853)=0,"",845)</f>
        <v/>
      </c>
      <c r="B853" s="8"/>
      <c r="C853" s="9"/>
      <c r="D853" s="10" t="str">
        <f t="shared" si="78"/>
        <v/>
      </c>
      <c r="E853" s="1"/>
      <c r="F853" s="11" t="str">
        <f t="shared" si="79"/>
        <v/>
      </c>
      <c r="G853" s="11" t="str">
        <f t="shared" si="80"/>
        <v/>
      </c>
      <c r="H853" s="11" t="str">
        <f t="shared" si="81"/>
        <v/>
      </c>
      <c r="I853" s="12" t="str">
        <f t="shared" si="82"/>
        <v/>
      </c>
      <c r="J853" s="13" t="str">
        <f t="shared" si="83"/>
        <v/>
      </c>
    </row>
    <row r="854" spans="1:10" ht="23.1" customHeight="1">
      <c r="A854" s="1" t="str">
        <f>IF(COUNTA(B854:C854)=0,"",846)</f>
        <v/>
      </c>
      <c r="B854" s="8"/>
      <c r="C854" s="9"/>
      <c r="D854" s="10" t="str">
        <f t="shared" si="78"/>
        <v/>
      </c>
      <c r="E854" s="1"/>
      <c r="F854" s="11" t="str">
        <f t="shared" si="79"/>
        <v/>
      </c>
      <c r="G854" s="11" t="str">
        <f t="shared" si="80"/>
        <v/>
      </c>
      <c r="H854" s="11" t="str">
        <f t="shared" si="81"/>
        <v/>
      </c>
      <c r="I854" s="12" t="str">
        <f t="shared" si="82"/>
        <v/>
      </c>
      <c r="J854" s="13" t="str">
        <f t="shared" si="83"/>
        <v/>
      </c>
    </row>
    <row r="855" spans="1:10" ht="23.1" customHeight="1">
      <c r="A855" s="1" t="str">
        <f>IF(COUNTA(B855:C855)=0,"",847)</f>
        <v/>
      </c>
      <c r="B855" s="8"/>
      <c r="C855" s="9"/>
      <c r="D855" s="10" t="str">
        <f t="shared" si="78"/>
        <v/>
      </c>
      <c r="E855" s="1"/>
      <c r="F855" s="11" t="str">
        <f t="shared" si="79"/>
        <v/>
      </c>
      <c r="G855" s="11" t="str">
        <f t="shared" si="80"/>
        <v/>
      </c>
      <c r="H855" s="11" t="str">
        <f t="shared" si="81"/>
        <v/>
      </c>
      <c r="I855" s="12" t="str">
        <f t="shared" si="82"/>
        <v/>
      </c>
      <c r="J855" s="13" t="str">
        <f t="shared" si="83"/>
        <v/>
      </c>
    </row>
    <row r="856" spans="1:10" ht="23.1" customHeight="1">
      <c r="A856" s="1" t="str">
        <f>IF(COUNTA(B856:C856)=0,"",848)</f>
        <v/>
      </c>
      <c r="B856" s="8"/>
      <c r="C856" s="9"/>
      <c r="D856" s="10" t="str">
        <f t="shared" si="78"/>
        <v/>
      </c>
      <c r="E856" s="1"/>
      <c r="F856" s="11" t="str">
        <f t="shared" si="79"/>
        <v/>
      </c>
      <c r="G856" s="11" t="str">
        <f t="shared" si="80"/>
        <v/>
      </c>
      <c r="H856" s="11" t="str">
        <f t="shared" si="81"/>
        <v/>
      </c>
      <c r="I856" s="12" t="str">
        <f t="shared" si="82"/>
        <v/>
      </c>
      <c r="J856" s="13" t="str">
        <f t="shared" si="83"/>
        <v/>
      </c>
    </row>
    <row r="857" spans="1:10" ht="23.1" customHeight="1">
      <c r="A857" s="1" t="str">
        <f>IF(COUNTA(B857:C857)=0,"",849)</f>
        <v/>
      </c>
      <c r="B857" s="8"/>
      <c r="C857" s="9"/>
      <c r="D857" s="10" t="str">
        <f t="shared" si="78"/>
        <v/>
      </c>
      <c r="E857" s="1"/>
      <c r="F857" s="11" t="str">
        <f t="shared" si="79"/>
        <v/>
      </c>
      <c r="G857" s="11" t="str">
        <f t="shared" si="80"/>
        <v/>
      </c>
      <c r="H857" s="11" t="str">
        <f t="shared" si="81"/>
        <v/>
      </c>
      <c r="I857" s="12" t="str">
        <f t="shared" si="82"/>
        <v/>
      </c>
      <c r="J857" s="13" t="str">
        <f t="shared" si="83"/>
        <v/>
      </c>
    </row>
    <row r="858" spans="1:10" ht="23.1" customHeight="1">
      <c r="A858" s="1" t="str">
        <f>IF(COUNTA(B858:C858)=0,"",850)</f>
        <v/>
      </c>
      <c r="B858" s="8"/>
      <c r="C858" s="9"/>
      <c r="D858" s="10" t="str">
        <f t="shared" si="78"/>
        <v/>
      </c>
      <c r="E858" s="1"/>
      <c r="F858" s="11" t="str">
        <f t="shared" si="79"/>
        <v/>
      </c>
      <c r="G858" s="11" t="str">
        <f t="shared" si="80"/>
        <v/>
      </c>
      <c r="H858" s="11" t="str">
        <f t="shared" si="81"/>
        <v/>
      </c>
      <c r="I858" s="12" t="str">
        <f t="shared" si="82"/>
        <v/>
      </c>
      <c r="J858" s="13" t="str">
        <f t="shared" si="83"/>
        <v/>
      </c>
    </row>
    <row r="859" spans="1:10" ht="23.1" customHeight="1">
      <c r="A859" s="1" t="str">
        <f>IF(COUNTA(B859:C859)=0,"",851)</f>
        <v/>
      </c>
      <c r="B859" s="8"/>
      <c r="C859" s="9"/>
      <c r="D859" s="10" t="str">
        <f t="shared" si="78"/>
        <v/>
      </c>
      <c r="E859" s="1"/>
      <c r="F859" s="11" t="str">
        <f t="shared" si="79"/>
        <v/>
      </c>
      <c r="G859" s="11" t="str">
        <f t="shared" si="80"/>
        <v/>
      </c>
      <c r="H859" s="11" t="str">
        <f t="shared" si="81"/>
        <v/>
      </c>
      <c r="I859" s="12" t="str">
        <f t="shared" si="82"/>
        <v/>
      </c>
      <c r="J859" s="13" t="str">
        <f t="shared" si="83"/>
        <v/>
      </c>
    </row>
    <row r="860" spans="1:10" ht="23.1" customHeight="1">
      <c r="A860" s="1" t="str">
        <f>IF(COUNTA(B860:C860)=0,"",852)</f>
        <v/>
      </c>
      <c r="B860" s="8"/>
      <c r="C860" s="9"/>
      <c r="D860" s="10" t="str">
        <f t="shared" si="78"/>
        <v/>
      </c>
      <c r="E860" s="1"/>
      <c r="F860" s="11" t="str">
        <f t="shared" si="79"/>
        <v/>
      </c>
      <c r="G860" s="11" t="str">
        <f t="shared" si="80"/>
        <v/>
      </c>
      <c r="H860" s="11" t="str">
        <f t="shared" si="81"/>
        <v/>
      </c>
      <c r="I860" s="12" t="str">
        <f t="shared" si="82"/>
        <v/>
      </c>
      <c r="J860" s="13" t="str">
        <f t="shared" si="83"/>
        <v/>
      </c>
    </row>
    <row r="861" spans="1:10" ht="23.1" customHeight="1">
      <c r="A861" s="1" t="str">
        <f>IF(COUNTA(B861:C861)=0,"",853)</f>
        <v/>
      </c>
      <c r="B861" s="8"/>
      <c r="C861" s="9"/>
      <c r="D861" s="10" t="str">
        <f t="shared" si="78"/>
        <v/>
      </c>
      <c r="E861" s="1"/>
      <c r="F861" s="11" t="str">
        <f t="shared" si="79"/>
        <v/>
      </c>
      <c r="G861" s="11" t="str">
        <f t="shared" si="80"/>
        <v/>
      </c>
      <c r="H861" s="11" t="str">
        <f t="shared" si="81"/>
        <v/>
      </c>
      <c r="I861" s="12" t="str">
        <f t="shared" si="82"/>
        <v/>
      </c>
      <c r="J861" s="13" t="str">
        <f t="shared" si="83"/>
        <v/>
      </c>
    </row>
    <row r="862" spans="1:10" ht="23.1" customHeight="1">
      <c r="A862" s="1" t="str">
        <f>IF(COUNTA(B862:C862)=0,"",854)</f>
        <v/>
      </c>
      <c r="B862" s="8"/>
      <c r="C862" s="9"/>
      <c r="D862" s="10" t="str">
        <f t="shared" si="78"/>
        <v/>
      </c>
      <c r="E862" s="1"/>
      <c r="F862" s="11" t="str">
        <f t="shared" si="79"/>
        <v/>
      </c>
      <c r="G862" s="11" t="str">
        <f t="shared" si="80"/>
        <v/>
      </c>
      <c r="H862" s="11" t="str">
        <f t="shared" si="81"/>
        <v/>
      </c>
      <c r="I862" s="12" t="str">
        <f t="shared" si="82"/>
        <v/>
      </c>
      <c r="J862" s="13" t="str">
        <f t="shared" si="83"/>
        <v/>
      </c>
    </row>
    <row r="863" spans="1:10" ht="23.1" customHeight="1">
      <c r="A863" s="1" t="str">
        <f>IF(COUNTA(B863:C863)=0,"",855)</f>
        <v/>
      </c>
      <c r="B863" s="8"/>
      <c r="C863" s="9"/>
      <c r="D863" s="10" t="str">
        <f t="shared" si="78"/>
        <v/>
      </c>
      <c r="E863" s="1"/>
      <c r="F863" s="11" t="str">
        <f t="shared" si="79"/>
        <v/>
      </c>
      <c r="G863" s="11" t="str">
        <f t="shared" si="80"/>
        <v/>
      </c>
      <c r="H863" s="11" t="str">
        <f t="shared" si="81"/>
        <v/>
      </c>
      <c r="I863" s="12" t="str">
        <f t="shared" si="82"/>
        <v/>
      </c>
      <c r="J863" s="13" t="str">
        <f t="shared" si="83"/>
        <v/>
      </c>
    </row>
    <row r="864" spans="1:10" ht="23.1" customHeight="1">
      <c r="A864" s="1" t="str">
        <f>IF(COUNTA(B864:C864)=0,"",856)</f>
        <v/>
      </c>
      <c r="B864" s="8"/>
      <c r="C864" s="9"/>
      <c r="D864" s="10" t="str">
        <f t="shared" si="78"/>
        <v/>
      </c>
      <c r="E864" s="1"/>
      <c r="F864" s="11" t="str">
        <f t="shared" si="79"/>
        <v/>
      </c>
      <c r="G864" s="11" t="str">
        <f t="shared" si="80"/>
        <v/>
      </c>
      <c r="H864" s="11" t="str">
        <f t="shared" si="81"/>
        <v/>
      </c>
      <c r="I864" s="12" t="str">
        <f t="shared" si="82"/>
        <v/>
      </c>
      <c r="J864" s="13" t="str">
        <f t="shared" si="83"/>
        <v/>
      </c>
    </row>
    <row r="865" spans="1:10" ht="23.1" customHeight="1">
      <c r="A865" s="1" t="str">
        <f>IF(COUNTA(B865:C865)=0,"",857)</f>
        <v/>
      </c>
      <c r="B865" s="8"/>
      <c r="C865" s="9"/>
      <c r="D865" s="10" t="str">
        <f t="shared" si="78"/>
        <v/>
      </c>
      <c r="E865" s="1"/>
      <c r="F865" s="11" t="str">
        <f t="shared" si="79"/>
        <v/>
      </c>
      <c r="G865" s="11" t="str">
        <f t="shared" si="80"/>
        <v/>
      </c>
      <c r="H865" s="11" t="str">
        <f t="shared" si="81"/>
        <v/>
      </c>
      <c r="I865" s="12" t="str">
        <f t="shared" si="82"/>
        <v/>
      </c>
      <c r="J865" s="13" t="str">
        <f t="shared" si="83"/>
        <v/>
      </c>
    </row>
    <row r="866" spans="1:10" ht="23.1" customHeight="1">
      <c r="A866" s="1" t="str">
        <f>IF(COUNTA(B866:C866)=0,"",858)</f>
        <v/>
      </c>
      <c r="B866" s="8"/>
      <c r="C866" s="9"/>
      <c r="D866" s="10" t="str">
        <f t="shared" si="78"/>
        <v/>
      </c>
      <c r="E866" s="1"/>
      <c r="F866" s="11" t="str">
        <f t="shared" si="79"/>
        <v/>
      </c>
      <c r="G866" s="11" t="str">
        <f t="shared" si="80"/>
        <v/>
      </c>
      <c r="H866" s="11" t="str">
        <f t="shared" si="81"/>
        <v/>
      </c>
      <c r="I866" s="12" t="str">
        <f t="shared" si="82"/>
        <v/>
      </c>
      <c r="J866" s="13" t="str">
        <f t="shared" si="83"/>
        <v/>
      </c>
    </row>
    <row r="867" spans="1:10" ht="23.1" customHeight="1">
      <c r="A867" s="1" t="str">
        <f>IF(COUNTA(B867:C867)=0,"",859)</f>
        <v/>
      </c>
      <c r="B867" s="8"/>
      <c r="C867" s="9"/>
      <c r="D867" s="10" t="str">
        <f t="shared" si="78"/>
        <v/>
      </c>
      <c r="E867" s="1"/>
      <c r="F867" s="11" t="str">
        <f t="shared" si="79"/>
        <v/>
      </c>
      <c r="G867" s="11" t="str">
        <f t="shared" si="80"/>
        <v/>
      </c>
      <c r="H867" s="11" t="str">
        <f t="shared" si="81"/>
        <v/>
      </c>
      <c r="I867" s="12" t="str">
        <f t="shared" si="82"/>
        <v/>
      </c>
      <c r="J867" s="13" t="str">
        <f t="shared" si="83"/>
        <v/>
      </c>
    </row>
    <row r="868" spans="1:10" ht="23.1" customHeight="1">
      <c r="A868" s="1" t="str">
        <f>IF(COUNTA(B868:C868)=0,"",860)</f>
        <v/>
      </c>
      <c r="B868" s="8"/>
      <c r="C868" s="9"/>
      <c r="D868" s="10" t="str">
        <f t="shared" si="78"/>
        <v/>
      </c>
      <c r="E868" s="1"/>
      <c r="F868" s="11" t="str">
        <f t="shared" si="79"/>
        <v/>
      </c>
      <c r="G868" s="11" t="str">
        <f t="shared" si="80"/>
        <v/>
      </c>
      <c r="H868" s="11" t="str">
        <f t="shared" si="81"/>
        <v/>
      </c>
      <c r="I868" s="12" t="str">
        <f t="shared" si="82"/>
        <v/>
      </c>
      <c r="J868" s="13" t="str">
        <f t="shared" si="83"/>
        <v/>
      </c>
    </row>
    <row r="869" spans="1:10" ht="23.1" customHeight="1">
      <c r="A869" s="1" t="str">
        <f>IF(COUNTA(B869:C869)=0,"",861)</f>
        <v/>
      </c>
      <c r="B869" s="8"/>
      <c r="C869" s="9"/>
      <c r="D869" s="10" t="str">
        <f t="shared" si="78"/>
        <v/>
      </c>
      <c r="E869" s="1"/>
      <c r="F869" s="11" t="str">
        <f t="shared" si="79"/>
        <v/>
      </c>
      <c r="G869" s="11" t="str">
        <f t="shared" si="80"/>
        <v/>
      </c>
      <c r="H869" s="11" t="str">
        <f t="shared" si="81"/>
        <v/>
      </c>
      <c r="I869" s="12" t="str">
        <f t="shared" si="82"/>
        <v/>
      </c>
      <c r="J869" s="13" t="str">
        <f t="shared" si="83"/>
        <v/>
      </c>
    </row>
    <row r="870" spans="1:10" ht="23.1" customHeight="1">
      <c r="A870" s="1" t="str">
        <f>IF(COUNTA(B870:C870)=0,"",862)</f>
        <v/>
      </c>
      <c r="B870" s="8"/>
      <c r="C870" s="9"/>
      <c r="D870" s="10" t="str">
        <f t="shared" si="78"/>
        <v/>
      </c>
      <c r="E870" s="1"/>
      <c r="F870" s="11" t="str">
        <f t="shared" si="79"/>
        <v/>
      </c>
      <c r="G870" s="11" t="str">
        <f t="shared" si="80"/>
        <v/>
      </c>
      <c r="H870" s="11" t="str">
        <f t="shared" si="81"/>
        <v/>
      </c>
      <c r="I870" s="12" t="str">
        <f t="shared" si="82"/>
        <v/>
      </c>
      <c r="J870" s="13" t="str">
        <f t="shared" si="83"/>
        <v/>
      </c>
    </row>
    <row r="871" spans="1:10" ht="23.1" customHeight="1">
      <c r="A871" s="1" t="str">
        <f>IF(COUNTA(B871:C871)=0,"",863)</f>
        <v/>
      </c>
      <c r="B871" s="8"/>
      <c r="C871" s="9"/>
      <c r="D871" s="10" t="str">
        <f t="shared" si="78"/>
        <v/>
      </c>
      <c r="E871" s="1"/>
      <c r="F871" s="11" t="str">
        <f t="shared" si="79"/>
        <v/>
      </c>
      <c r="G871" s="11" t="str">
        <f t="shared" si="80"/>
        <v/>
      </c>
      <c r="H871" s="11" t="str">
        <f t="shared" si="81"/>
        <v/>
      </c>
      <c r="I871" s="12" t="str">
        <f t="shared" si="82"/>
        <v/>
      </c>
      <c r="J871" s="13" t="str">
        <f t="shared" si="83"/>
        <v/>
      </c>
    </row>
    <row r="872" spans="1:10" ht="23.1" customHeight="1">
      <c r="A872" s="1" t="str">
        <f>IF(COUNTA(B872:C872)=0,"",864)</f>
        <v/>
      </c>
      <c r="B872" s="8"/>
      <c r="C872" s="9"/>
      <c r="D872" s="10" t="str">
        <f t="shared" si="78"/>
        <v/>
      </c>
      <c r="E872" s="1"/>
      <c r="F872" s="11" t="str">
        <f t="shared" si="79"/>
        <v/>
      </c>
      <c r="G872" s="11" t="str">
        <f t="shared" si="80"/>
        <v/>
      </c>
      <c r="H872" s="11" t="str">
        <f t="shared" si="81"/>
        <v/>
      </c>
      <c r="I872" s="12" t="str">
        <f t="shared" si="82"/>
        <v/>
      </c>
      <c r="J872" s="13" t="str">
        <f t="shared" si="83"/>
        <v/>
      </c>
    </row>
    <row r="873" spans="1:10" ht="23.1" customHeight="1">
      <c r="A873" s="1" t="str">
        <f>IF(COUNTA(B873:C873)=0,"",865)</f>
        <v/>
      </c>
      <c r="B873" s="8"/>
      <c r="C873" s="9"/>
      <c r="D873" s="10" t="str">
        <f t="shared" si="78"/>
        <v/>
      </c>
      <c r="E873" s="1"/>
      <c r="F873" s="11" t="str">
        <f t="shared" si="79"/>
        <v/>
      </c>
      <c r="G873" s="11" t="str">
        <f t="shared" si="80"/>
        <v/>
      </c>
      <c r="H873" s="11" t="str">
        <f t="shared" si="81"/>
        <v/>
      </c>
      <c r="I873" s="12" t="str">
        <f t="shared" si="82"/>
        <v/>
      </c>
      <c r="J873" s="13" t="str">
        <f t="shared" si="83"/>
        <v/>
      </c>
    </row>
    <row r="874" spans="1:10" ht="23.1" customHeight="1">
      <c r="A874" s="1" t="str">
        <f>IF(COUNTA(B874:C874)=0,"",866)</f>
        <v/>
      </c>
      <c r="B874" s="8"/>
      <c r="C874" s="9"/>
      <c r="D874" s="10" t="str">
        <f t="shared" si="78"/>
        <v/>
      </c>
      <c r="E874" s="1"/>
      <c r="F874" s="11" t="str">
        <f t="shared" si="79"/>
        <v/>
      </c>
      <c r="G874" s="11" t="str">
        <f t="shared" si="80"/>
        <v/>
      </c>
      <c r="H874" s="11" t="str">
        <f t="shared" si="81"/>
        <v/>
      </c>
      <c r="I874" s="12" t="str">
        <f t="shared" si="82"/>
        <v/>
      </c>
      <c r="J874" s="13" t="str">
        <f t="shared" si="83"/>
        <v/>
      </c>
    </row>
    <row r="875" spans="1:10" ht="23.1" customHeight="1">
      <c r="A875" s="1" t="str">
        <f>IF(COUNTA(B875:C875)=0,"",867)</f>
        <v/>
      </c>
      <c r="B875" s="8"/>
      <c r="C875" s="9"/>
      <c r="D875" s="10" t="str">
        <f t="shared" si="78"/>
        <v/>
      </c>
      <c r="E875" s="1"/>
      <c r="F875" s="11" t="str">
        <f t="shared" si="79"/>
        <v/>
      </c>
      <c r="G875" s="11" t="str">
        <f t="shared" si="80"/>
        <v/>
      </c>
      <c r="H875" s="11" t="str">
        <f t="shared" si="81"/>
        <v/>
      </c>
      <c r="I875" s="12" t="str">
        <f t="shared" si="82"/>
        <v/>
      </c>
      <c r="J875" s="13" t="str">
        <f t="shared" si="83"/>
        <v/>
      </c>
    </row>
    <row r="876" spans="1:10" ht="23.1" customHeight="1">
      <c r="A876" s="1" t="str">
        <f>IF(COUNTA(B876:C876)=0,"",868)</f>
        <v/>
      </c>
      <c r="B876" s="8"/>
      <c r="C876" s="9"/>
      <c r="D876" s="10" t="str">
        <f t="shared" si="78"/>
        <v/>
      </c>
      <c r="E876" s="1"/>
      <c r="F876" s="11" t="str">
        <f t="shared" si="79"/>
        <v/>
      </c>
      <c r="G876" s="11" t="str">
        <f t="shared" si="80"/>
        <v/>
      </c>
      <c r="H876" s="11" t="str">
        <f t="shared" si="81"/>
        <v/>
      </c>
      <c r="I876" s="12" t="str">
        <f t="shared" si="82"/>
        <v/>
      </c>
      <c r="J876" s="13" t="str">
        <f t="shared" si="83"/>
        <v/>
      </c>
    </row>
    <row r="877" spans="1:10" ht="23.1" customHeight="1">
      <c r="A877" s="1" t="str">
        <f>IF(COUNTA(B877:C877)=0,"",869)</f>
        <v/>
      </c>
      <c r="B877" s="8"/>
      <c r="C877" s="9"/>
      <c r="D877" s="10" t="str">
        <f t="shared" si="78"/>
        <v/>
      </c>
      <c r="E877" s="1"/>
      <c r="F877" s="11" t="str">
        <f t="shared" si="79"/>
        <v/>
      </c>
      <c r="G877" s="11" t="str">
        <f t="shared" si="80"/>
        <v/>
      </c>
      <c r="H877" s="11" t="str">
        <f t="shared" si="81"/>
        <v/>
      </c>
      <c r="I877" s="12" t="str">
        <f t="shared" si="82"/>
        <v/>
      </c>
      <c r="J877" s="13" t="str">
        <f t="shared" si="83"/>
        <v/>
      </c>
    </row>
    <row r="878" spans="1:10" ht="23.1" customHeight="1">
      <c r="A878" s="1" t="str">
        <f>IF(COUNTA(B878:C878)=0,"",870)</f>
        <v/>
      </c>
      <c r="B878" s="8"/>
      <c r="C878" s="9"/>
      <c r="D878" s="10" t="str">
        <f t="shared" si="78"/>
        <v/>
      </c>
      <c r="E878" s="1"/>
      <c r="F878" s="11" t="str">
        <f t="shared" si="79"/>
        <v/>
      </c>
      <c r="G878" s="11" t="str">
        <f t="shared" si="80"/>
        <v/>
      </c>
      <c r="H878" s="11" t="str">
        <f t="shared" si="81"/>
        <v/>
      </c>
      <c r="I878" s="12" t="str">
        <f t="shared" si="82"/>
        <v/>
      </c>
      <c r="J878" s="13" t="str">
        <f t="shared" si="83"/>
        <v/>
      </c>
    </row>
    <row r="879" spans="1:10" ht="23.1" customHeight="1">
      <c r="A879" s="1" t="str">
        <f>IF(COUNTA(B879:C879)=0,"",871)</f>
        <v/>
      </c>
      <c r="B879" s="8"/>
      <c r="C879" s="9"/>
      <c r="D879" s="10" t="str">
        <f t="shared" si="78"/>
        <v/>
      </c>
      <c r="E879" s="1"/>
      <c r="F879" s="11" t="str">
        <f t="shared" si="79"/>
        <v/>
      </c>
      <c r="G879" s="11" t="str">
        <f t="shared" si="80"/>
        <v/>
      </c>
      <c r="H879" s="11" t="str">
        <f t="shared" si="81"/>
        <v/>
      </c>
      <c r="I879" s="12" t="str">
        <f t="shared" si="82"/>
        <v/>
      </c>
      <c r="J879" s="13" t="str">
        <f t="shared" si="83"/>
        <v/>
      </c>
    </row>
    <row r="880" spans="1:10" ht="23.1" customHeight="1">
      <c r="A880" s="1" t="str">
        <f>IF(COUNTA(B880:C880)=0,"",872)</f>
        <v/>
      </c>
      <c r="B880" s="8"/>
      <c r="C880" s="9"/>
      <c r="D880" s="10" t="str">
        <f t="shared" si="78"/>
        <v/>
      </c>
      <c r="E880" s="1"/>
      <c r="F880" s="11" t="str">
        <f t="shared" si="79"/>
        <v/>
      </c>
      <c r="G880" s="11" t="str">
        <f t="shared" si="80"/>
        <v/>
      </c>
      <c r="H880" s="11" t="str">
        <f t="shared" si="81"/>
        <v/>
      </c>
      <c r="I880" s="12" t="str">
        <f t="shared" si="82"/>
        <v/>
      </c>
      <c r="J880" s="13" t="str">
        <f t="shared" si="83"/>
        <v/>
      </c>
    </row>
    <row r="881" spans="1:10" ht="23.1" customHeight="1">
      <c r="A881" s="1" t="str">
        <f>IF(COUNTA(B881:C881)=0,"",873)</f>
        <v/>
      </c>
      <c r="B881" s="8"/>
      <c r="C881" s="9"/>
      <c r="D881" s="10" t="str">
        <f t="shared" si="78"/>
        <v/>
      </c>
      <c r="E881" s="1"/>
      <c r="F881" s="11" t="str">
        <f t="shared" si="79"/>
        <v/>
      </c>
      <c r="G881" s="11" t="str">
        <f t="shared" si="80"/>
        <v/>
      </c>
      <c r="H881" s="11" t="str">
        <f t="shared" si="81"/>
        <v/>
      </c>
      <c r="I881" s="12" t="str">
        <f t="shared" si="82"/>
        <v/>
      </c>
      <c r="J881" s="13" t="str">
        <f t="shared" si="83"/>
        <v/>
      </c>
    </row>
    <row r="882" spans="1:10" ht="23.1" customHeight="1">
      <c r="A882" s="1" t="str">
        <f>IF(COUNTA(B882:C882)=0,"",874)</f>
        <v/>
      </c>
      <c r="B882" s="8"/>
      <c r="C882" s="9"/>
      <c r="D882" s="10" t="str">
        <f t="shared" si="78"/>
        <v/>
      </c>
      <c r="E882" s="1"/>
      <c r="F882" s="11" t="str">
        <f t="shared" si="79"/>
        <v/>
      </c>
      <c r="G882" s="11" t="str">
        <f t="shared" si="80"/>
        <v/>
      </c>
      <c r="H882" s="11" t="str">
        <f t="shared" si="81"/>
        <v/>
      </c>
      <c r="I882" s="12" t="str">
        <f t="shared" si="82"/>
        <v/>
      </c>
      <c r="J882" s="13" t="str">
        <f t="shared" si="83"/>
        <v/>
      </c>
    </row>
    <row r="883" spans="1:10" ht="23.1" customHeight="1">
      <c r="A883" s="1" t="str">
        <f>IF(COUNTA(B883:C883)=0,"",875)</f>
        <v/>
      </c>
      <c r="B883" s="8"/>
      <c r="C883" s="9"/>
      <c r="D883" s="10" t="str">
        <f t="shared" si="78"/>
        <v/>
      </c>
      <c r="E883" s="1"/>
      <c r="F883" s="11" t="str">
        <f t="shared" si="79"/>
        <v/>
      </c>
      <c r="G883" s="11" t="str">
        <f t="shared" si="80"/>
        <v/>
      </c>
      <c r="H883" s="11" t="str">
        <f t="shared" si="81"/>
        <v/>
      </c>
      <c r="I883" s="12" t="str">
        <f t="shared" si="82"/>
        <v/>
      </c>
      <c r="J883" s="13" t="str">
        <f t="shared" si="83"/>
        <v/>
      </c>
    </row>
    <row r="884" spans="1:10" ht="23.1" customHeight="1">
      <c r="A884" s="1" t="str">
        <f>IF(COUNTA(B884:C884)=0,"",876)</f>
        <v/>
      </c>
      <c r="B884" s="8"/>
      <c r="C884" s="9"/>
      <c r="D884" s="10" t="str">
        <f t="shared" si="78"/>
        <v/>
      </c>
      <c r="E884" s="1"/>
      <c r="F884" s="11" t="str">
        <f t="shared" si="79"/>
        <v/>
      </c>
      <c r="G884" s="11" t="str">
        <f t="shared" si="80"/>
        <v/>
      </c>
      <c r="H884" s="11" t="str">
        <f t="shared" si="81"/>
        <v/>
      </c>
      <c r="I884" s="12" t="str">
        <f t="shared" si="82"/>
        <v/>
      </c>
      <c r="J884" s="13" t="str">
        <f t="shared" si="83"/>
        <v/>
      </c>
    </row>
    <row r="885" spans="1:10" ht="23.1" customHeight="1">
      <c r="A885" s="1" t="str">
        <f>IF(COUNTA(B885:C885)=0,"",877)</f>
        <v/>
      </c>
      <c r="B885" s="8"/>
      <c r="C885" s="9"/>
      <c r="D885" s="10" t="str">
        <f t="shared" si="78"/>
        <v/>
      </c>
      <c r="E885" s="1"/>
      <c r="F885" s="11" t="str">
        <f t="shared" si="79"/>
        <v/>
      </c>
      <c r="G885" s="11" t="str">
        <f t="shared" si="80"/>
        <v/>
      </c>
      <c r="H885" s="11" t="str">
        <f t="shared" si="81"/>
        <v/>
      </c>
      <c r="I885" s="12" t="str">
        <f t="shared" si="82"/>
        <v/>
      </c>
      <c r="J885" s="13" t="str">
        <f t="shared" si="83"/>
        <v/>
      </c>
    </row>
    <row r="886" spans="1:10" ht="23.1" customHeight="1">
      <c r="A886" s="1" t="str">
        <f>IF(COUNTA(B886:C886)=0,"",878)</f>
        <v/>
      </c>
      <c r="B886" s="8"/>
      <c r="C886" s="9"/>
      <c r="D886" s="10" t="str">
        <f t="shared" si="78"/>
        <v/>
      </c>
      <c r="E886" s="1"/>
      <c r="F886" s="11" t="str">
        <f t="shared" si="79"/>
        <v/>
      </c>
      <c r="G886" s="11" t="str">
        <f t="shared" si="80"/>
        <v/>
      </c>
      <c r="H886" s="11" t="str">
        <f t="shared" si="81"/>
        <v/>
      </c>
      <c r="I886" s="12" t="str">
        <f t="shared" si="82"/>
        <v/>
      </c>
      <c r="J886" s="13" t="str">
        <f t="shared" si="83"/>
        <v/>
      </c>
    </row>
    <row r="887" spans="1:10" ht="23.1" customHeight="1">
      <c r="A887" s="1" t="str">
        <f>IF(COUNTA(B887:C887)=0,"",879)</f>
        <v/>
      </c>
      <c r="B887" s="8"/>
      <c r="C887" s="9"/>
      <c r="D887" s="10" t="str">
        <f t="shared" si="78"/>
        <v/>
      </c>
      <c r="E887" s="1"/>
      <c r="F887" s="11" t="str">
        <f t="shared" si="79"/>
        <v/>
      </c>
      <c r="G887" s="11" t="str">
        <f t="shared" si="80"/>
        <v/>
      </c>
      <c r="H887" s="11" t="str">
        <f t="shared" si="81"/>
        <v/>
      </c>
      <c r="I887" s="12" t="str">
        <f t="shared" si="82"/>
        <v/>
      </c>
      <c r="J887" s="13" t="str">
        <f t="shared" si="83"/>
        <v/>
      </c>
    </row>
    <row r="888" spans="1:10" ht="23.1" customHeight="1">
      <c r="A888" s="1" t="str">
        <f>IF(COUNTA(B888:C888)=0,"",880)</f>
        <v/>
      </c>
      <c r="B888" s="8"/>
      <c r="C888" s="9"/>
      <c r="D888" s="10" t="str">
        <f t="shared" si="78"/>
        <v/>
      </c>
      <c r="E888" s="1"/>
      <c r="F888" s="11" t="str">
        <f t="shared" si="79"/>
        <v/>
      </c>
      <c r="G888" s="11" t="str">
        <f t="shared" si="80"/>
        <v/>
      </c>
      <c r="H888" s="11" t="str">
        <f t="shared" si="81"/>
        <v/>
      </c>
      <c r="I888" s="12" t="str">
        <f t="shared" si="82"/>
        <v/>
      </c>
      <c r="J888" s="13" t="str">
        <f t="shared" si="83"/>
        <v/>
      </c>
    </row>
    <row r="889" spans="1:10" ht="23.1" customHeight="1">
      <c r="A889" s="1" t="str">
        <f>IF(COUNTA(B889:C889)=0,"",881)</f>
        <v/>
      </c>
      <c r="B889" s="8"/>
      <c r="C889" s="9"/>
      <c r="D889" s="10" t="str">
        <f t="shared" si="78"/>
        <v/>
      </c>
      <c r="E889" s="1"/>
      <c r="F889" s="11" t="str">
        <f t="shared" si="79"/>
        <v/>
      </c>
      <c r="G889" s="11" t="str">
        <f t="shared" si="80"/>
        <v/>
      </c>
      <c r="H889" s="11" t="str">
        <f t="shared" si="81"/>
        <v/>
      </c>
      <c r="I889" s="12" t="str">
        <f t="shared" si="82"/>
        <v/>
      </c>
      <c r="J889" s="13" t="str">
        <f t="shared" si="83"/>
        <v/>
      </c>
    </row>
    <row r="890" spans="1:10" ht="23.1" customHeight="1">
      <c r="A890" s="1" t="str">
        <f>IF(COUNTA(B890:C890)=0,"",882)</f>
        <v/>
      </c>
      <c r="B890" s="8"/>
      <c r="C890" s="9"/>
      <c r="D890" s="10" t="str">
        <f t="shared" si="78"/>
        <v/>
      </c>
      <c r="E890" s="1"/>
      <c r="F890" s="11" t="str">
        <f t="shared" si="79"/>
        <v/>
      </c>
      <c r="G890" s="11" t="str">
        <f t="shared" si="80"/>
        <v/>
      </c>
      <c r="H890" s="11" t="str">
        <f t="shared" si="81"/>
        <v/>
      </c>
      <c r="I890" s="12" t="str">
        <f t="shared" si="82"/>
        <v/>
      </c>
      <c r="J890" s="13" t="str">
        <f t="shared" si="83"/>
        <v/>
      </c>
    </row>
    <row r="891" spans="1:10" ht="23.1" customHeight="1">
      <c r="A891" s="1" t="str">
        <f>IF(COUNTA(B891:C891)=0,"",883)</f>
        <v/>
      </c>
      <c r="B891" s="8"/>
      <c r="C891" s="9"/>
      <c r="D891" s="10" t="str">
        <f t="shared" si="78"/>
        <v/>
      </c>
      <c r="E891" s="1"/>
      <c r="F891" s="11" t="str">
        <f t="shared" si="79"/>
        <v/>
      </c>
      <c r="G891" s="11" t="str">
        <f t="shared" si="80"/>
        <v/>
      </c>
      <c r="H891" s="11" t="str">
        <f t="shared" si="81"/>
        <v/>
      </c>
      <c r="I891" s="12" t="str">
        <f t="shared" si="82"/>
        <v/>
      </c>
      <c r="J891" s="13" t="str">
        <f t="shared" si="83"/>
        <v/>
      </c>
    </row>
    <row r="892" spans="1:10" ht="23.1" customHeight="1">
      <c r="A892" s="1" t="str">
        <f>IF(COUNTA(B892:C892)=0,"",884)</f>
        <v/>
      </c>
      <c r="B892" s="8"/>
      <c r="C892" s="9"/>
      <c r="D892" s="10" t="str">
        <f t="shared" si="78"/>
        <v/>
      </c>
      <c r="E892" s="1"/>
      <c r="F892" s="11" t="str">
        <f t="shared" si="79"/>
        <v/>
      </c>
      <c r="G892" s="11" t="str">
        <f t="shared" si="80"/>
        <v/>
      </c>
      <c r="H892" s="11" t="str">
        <f t="shared" si="81"/>
        <v/>
      </c>
      <c r="I892" s="12" t="str">
        <f t="shared" si="82"/>
        <v/>
      </c>
      <c r="J892" s="13" t="str">
        <f t="shared" si="83"/>
        <v/>
      </c>
    </row>
    <row r="893" spans="1:10" ht="23.1" customHeight="1">
      <c r="A893" s="1" t="str">
        <f>IF(COUNTA(B893:C893)=0,"",885)</f>
        <v/>
      </c>
      <c r="B893" s="8"/>
      <c r="C893" s="9"/>
      <c r="D893" s="10" t="str">
        <f t="shared" si="78"/>
        <v/>
      </c>
      <c r="E893" s="1"/>
      <c r="F893" s="11" t="str">
        <f t="shared" si="79"/>
        <v/>
      </c>
      <c r="G893" s="11" t="str">
        <f t="shared" si="80"/>
        <v/>
      </c>
      <c r="H893" s="11" t="str">
        <f t="shared" si="81"/>
        <v/>
      </c>
      <c r="I893" s="12" t="str">
        <f t="shared" si="82"/>
        <v/>
      </c>
      <c r="J893" s="13" t="str">
        <f t="shared" si="83"/>
        <v/>
      </c>
    </row>
    <row r="894" spans="1:10" ht="23.1" customHeight="1">
      <c r="A894" s="1" t="str">
        <f>IF(COUNTA(B894:C894)=0,"",886)</f>
        <v/>
      </c>
      <c r="B894" s="8"/>
      <c r="C894" s="9"/>
      <c r="D894" s="10" t="str">
        <f t="shared" si="78"/>
        <v/>
      </c>
      <c r="E894" s="1"/>
      <c r="F894" s="11" t="str">
        <f t="shared" si="79"/>
        <v/>
      </c>
      <c r="G894" s="11" t="str">
        <f t="shared" si="80"/>
        <v/>
      </c>
      <c r="H894" s="11" t="str">
        <f t="shared" si="81"/>
        <v/>
      </c>
      <c r="I894" s="12" t="str">
        <f t="shared" si="82"/>
        <v/>
      </c>
      <c r="J894" s="13" t="str">
        <f t="shared" si="83"/>
        <v/>
      </c>
    </row>
    <row r="895" spans="1:10" ht="23.1" customHeight="1">
      <c r="A895" s="1" t="str">
        <f>IF(COUNTA(B895:C895)=0,"",887)</f>
        <v/>
      </c>
      <c r="B895" s="8"/>
      <c r="C895" s="9"/>
      <c r="D895" s="10" t="str">
        <f t="shared" si="78"/>
        <v/>
      </c>
      <c r="E895" s="1"/>
      <c r="F895" s="11" t="str">
        <f t="shared" si="79"/>
        <v/>
      </c>
      <c r="G895" s="11" t="str">
        <f t="shared" si="80"/>
        <v/>
      </c>
      <c r="H895" s="11" t="str">
        <f t="shared" si="81"/>
        <v/>
      </c>
      <c r="I895" s="12" t="str">
        <f t="shared" si="82"/>
        <v/>
      </c>
      <c r="J895" s="13" t="str">
        <f t="shared" si="83"/>
        <v/>
      </c>
    </row>
    <row r="896" spans="1:10" ht="23.1" customHeight="1">
      <c r="A896" s="1" t="str">
        <f>IF(COUNTA(B896:C896)=0,"",888)</f>
        <v/>
      </c>
      <c r="B896" s="8"/>
      <c r="C896" s="9"/>
      <c r="D896" s="10" t="str">
        <f t="shared" si="78"/>
        <v/>
      </c>
      <c r="E896" s="1"/>
      <c r="F896" s="11" t="str">
        <f t="shared" si="79"/>
        <v/>
      </c>
      <c r="G896" s="11" t="str">
        <f t="shared" si="80"/>
        <v/>
      </c>
      <c r="H896" s="11" t="str">
        <f t="shared" si="81"/>
        <v/>
      </c>
      <c r="I896" s="12" t="str">
        <f t="shared" si="82"/>
        <v/>
      </c>
      <c r="J896" s="13" t="str">
        <f t="shared" si="83"/>
        <v/>
      </c>
    </row>
    <row r="897" spans="1:10" ht="23.1" customHeight="1">
      <c r="A897" s="1" t="str">
        <f>IF(COUNTA(B897:C897)=0,"",889)</f>
        <v/>
      </c>
      <c r="B897" s="8"/>
      <c r="C897" s="9"/>
      <c r="D897" s="10" t="str">
        <f t="shared" si="78"/>
        <v/>
      </c>
      <c r="E897" s="1"/>
      <c r="F897" s="11" t="str">
        <f t="shared" si="79"/>
        <v/>
      </c>
      <c r="G897" s="11" t="str">
        <f t="shared" si="80"/>
        <v/>
      </c>
      <c r="H897" s="11" t="str">
        <f t="shared" si="81"/>
        <v/>
      </c>
      <c r="I897" s="12" t="str">
        <f t="shared" si="82"/>
        <v/>
      </c>
      <c r="J897" s="13" t="str">
        <f t="shared" si="83"/>
        <v/>
      </c>
    </row>
    <row r="898" spans="1:10" ht="23.1" customHeight="1">
      <c r="A898" s="1" t="str">
        <f>IF(COUNTA(B898:C898)=0,"",890)</f>
        <v/>
      </c>
      <c r="B898" s="8"/>
      <c r="C898" s="9"/>
      <c r="D898" s="10" t="str">
        <f t="shared" si="78"/>
        <v/>
      </c>
      <c r="E898" s="1"/>
      <c r="F898" s="11" t="str">
        <f t="shared" si="79"/>
        <v/>
      </c>
      <c r="G898" s="11" t="str">
        <f t="shared" si="80"/>
        <v/>
      </c>
      <c r="H898" s="11" t="str">
        <f t="shared" si="81"/>
        <v/>
      </c>
      <c r="I898" s="12" t="str">
        <f t="shared" si="82"/>
        <v/>
      </c>
      <c r="J898" s="13" t="str">
        <f t="shared" si="83"/>
        <v/>
      </c>
    </row>
    <row r="899" spans="1:10" ht="23.1" customHeight="1">
      <c r="A899" s="1" t="str">
        <f>IF(COUNTA(B899:C899)=0,"",891)</f>
        <v/>
      </c>
      <c r="B899" s="8"/>
      <c r="C899" s="9"/>
      <c r="D899" s="10" t="str">
        <f t="shared" si="78"/>
        <v/>
      </c>
      <c r="E899" s="1"/>
      <c r="F899" s="11" t="str">
        <f t="shared" si="79"/>
        <v/>
      </c>
      <c r="G899" s="11" t="str">
        <f t="shared" si="80"/>
        <v/>
      </c>
      <c r="H899" s="11" t="str">
        <f t="shared" si="81"/>
        <v/>
      </c>
      <c r="I899" s="12" t="str">
        <f t="shared" si="82"/>
        <v/>
      </c>
      <c r="J899" s="13" t="str">
        <f t="shared" si="83"/>
        <v/>
      </c>
    </row>
    <row r="900" spans="1:10" ht="23.1" customHeight="1">
      <c r="A900" s="1" t="str">
        <f>IF(COUNTA(B900:C900)=0,"",892)</f>
        <v/>
      </c>
      <c r="B900" s="8"/>
      <c r="C900" s="9"/>
      <c r="D900" s="10" t="str">
        <f t="shared" si="78"/>
        <v/>
      </c>
      <c r="E900" s="1"/>
      <c r="F900" s="11" t="str">
        <f t="shared" si="79"/>
        <v/>
      </c>
      <c r="G900" s="11" t="str">
        <f t="shared" si="80"/>
        <v/>
      </c>
      <c r="H900" s="11" t="str">
        <f t="shared" si="81"/>
        <v/>
      </c>
      <c r="I900" s="12" t="str">
        <f t="shared" si="82"/>
        <v/>
      </c>
      <c r="J900" s="13" t="str">
        <f t="shared" si="83"/>
        <v/>
      </c>
    </row>
    <row r="901" spans="1:10" ht="23.1" customHeight="1">
      <c r="A901" s="1" t="str">
        <f>IF(COUNTA(B901:C901)=0,"",893)</f>
        <v/>
      </c>
      <c r="B901" s="8"/>
      <c r="C901" s="9"/>
      <c r="D901" s="10" t="str">
        <f t="shared" si="78"/>
        <v/>
      </c>
      <c r="E901" s="1"/>
      <c r="F901" s="11" t="str">
        <f t="shared" si="79"/>
        <v/>
      </c>
      <c r="G901" s="11" t="str">
        <f t="shared" si="80"/>
        <v/>
      </c>
      <c r="H901" s="11" t="str">
        <f t="shared" si="81"/>
        <v/>
      </c>
      <c r="I901" s="12" t="str">
        <f t="shared" si="82"/>
        <v/>
      </c>
      <c r="J901" s="13" t="str">
        <f t="shared" si="83"/>
        <v/>
      </c>
    </row>
    <row r="902" spans="1:10" ht="23.1" customHeight="1">
      <c r="A902" s="1" t="str">
        <f>IF(COUNTA(B902:C902)=0,"",894)</f>
        <v/>
      </c>
      <c r="B902" s="8"/>
      <c r="C902" s="9"/>
      <c r="D902" s="10" t="str">
        <f t="shared" si="78"/>
        <v/>
      </c>
      <c r="E902" s="1"/>
      <c r="F902" s="11" t="str">
        <f t="shared" si="79"/>
        <v/>
      </c>
      <c r="G902" s="11" t="str">
        <f t="shared" si="80"/>
        <v/>
      </c>
      <c r="H902" s="11" t="str">
        <f t="shared" si="81"/>
        <v/>
      </c>
      <c r="I902" s="12" t="str">
        <f t="shared" si="82"/>
        <v/>
      </c>
      <c r="J902" s="13" t="str">
        <f t="shared" si="83"/>
        <v/>
      </c>
    </row>
    <row r="903" spans="1:10" ht="23.1" customHeight="1">
      <c r="A903" s="1" t="str">
        <f>IF(COUNTA(B903:C903)=0,"",895)</f>
        <v/>
      </c>
      <c r="B903" s="8"/>
      <c r="C903" s="9"/>
      <c r="D903" s="10" t="str">
        <f t="shared" si="78"/>
        <v/>
      </c>
      <c r="E903" s="1"/>
      <c r="F903" s="11" t="str">
        <f t="shared" si="79"/>
        <v/>
      </c>
      <c r="G903" s="11" t="str">
        <f t="shared" si="80"/>
        <v/>
      </c>
      <c r="H903" s="11" t="str">
        <f t="shared" si="81"/>
        <v/>
      </c>
      <c r="I903" s="12" t="str">
        <f t="shared" si="82"/>
        <v/>
      </c>
      <c r="J903" s="13" t="str">
        <f t="shared" si="83"/>
        <v/>
      </c>
    </row>
    <row r="904" spans="1:10" ht="23.1" customHeight="1">
      <c r="A904" s="1" t="str">
        <f>IF(COUNTA(B904:C904)=0,"",896)</f>
        <v/>
      </c>
      <c r="B904" s="8"/>
      <c r="C904" s="9"/>
      <c r="D904" s="10" t="str">
        <f t="shared" si="78"/>
        <v/>
      </c>
      <c r="E904" s="1"/>
      <c r="F904" s="11" t="str">
        <f t="shared" si="79"/>
        <v/>
      </c>
      <c r="G904" s="11" t="str">
        <f t="shared" si="80"/>
        <v/>
      </c>
      <c r="H904" s="11" t="str">
        <f t="shared" si="81"/>
        <v/>
      </c>
      <c r="I904" s="12" t="str">
        <f t="shared" si="82"/>
        <v/>
      </c>
      <c r="J904" s="13" t="str">
        <f t="shared" si="83"/>
        <v/>
      </c>
    </row>
    <row r="905" spans="1:10" ht="23.1" customHeight="1">
      <c r="A905" s="1" t="str">
        <f>IF(COUNTA(B905:C905)=0,"",897)</f>
        <v/>
      </c>
      <c r="B905" s="8"/>
      <c r="C905" s="9"/>
      <c r="D905" s="10" t="str">
        <f t="shared" ref="D905:D968" si="84">IF(NOT(ISNUMBER(C905)),"",ROUND(C905*30%,2))</f>
        <v/>
      </c>
      <c r="E905" s="1"/>
      <c r="F905" s="11" t="str">
        <f t="shared" ref="F905:F968" si="85">IF(NOT(ISNUMBER(C905)),"",ROUND(H905*30%,2))</f>
        <v/>
      </c>
      <c r="G905" s="11" t="str">
        <f t="shared" ref="G905:G968" si="86">IF(NOT(ISNUMBER(C905)),"",ROUND(H905-F905,2))</f>
        <v/>
      </c>
      <c r="H905" s="11" t="str">
        <f t="shared" ref="H905:H968" si="87">IF(NOT(ISNUMBER(C905)),"",ROUND(C905-D905,2))</f>
        <v/>
      </c>
      <c r="I905" s="12" t="str">
        <f t="shared" ref="I905:I968" si="88">IF(NOT(ISNUMBER(C905)),"",ROUND(C905-SUM(D905,F905:G905),2))</f>
        <v/>
      </c>
      <c r="J905" s="13" t="str">
        <f t="shared" ref="J905:J968" si="89">IF(COUNTA(B905:C905)=0,"",IF(B905="","Falta apartamento",IF(NOT(ISNUMBER(C905)),"Falta valor","Completo")))</f>
        <v/>
      </c>
    </row>
    <row r="906" spans="1:10" ht="23.1" customHeight="1">
      <c r="A906" s="1" t="str">
        <f>IF(COUNTA(B906:C906)=0,"",898)</f>
        <v/>
      </c>
      <c r="B906" s="8"/>
      <c r="C906" s="9"/>
      <c r="D906" s="10" t="str">
        <f t="shared" si="84"/>
        <v/>
      </c>
      <c r="E906" s="1"/>
      <c r="F906" s="11" t="str">
        <f t="shared" si="85"/>
        <v/>
      </c>
      <c r="G906" s="11" t="str">
        <f t="shared" si="86"/>
        <v/>
      </c>
      <c r="H906" s="11" t="str">
        <f t="shared" si="87"/>
        <v/>
      </c>
      <c r="I906" s="12" t="str">
        <f t="shared" si="88"/>
        <v/>
      </c>
      <c r="J906" s="13" t="str">
        <f t="shared" si="89"/>
        <v/>
      </c>
    </row>
    <row r="907" spans="1:10" ht="23.1" customHeight="1">
      <c r="A907" s="1" t="str">
        <f>IF(COUNTA(B907:C907)=0,"",899)</f>
        <v/>
      </c>
      <c r="B907" s="8"/>
      <c r="C907" s="9"/>
      <c r="D907" s="10" t="str">
        <f t="shared" si="84"/>
        <v/>
      </c>
      <c r="E907" s="1"/>
      <c r="F907" s="11" t="str">
        <f t="shared" si="85"/>
        <v/>
      </c>
      <c r="G907" s="11" t="str">
        <f t="shared" si="86"/>
        <v/>
      </c>
      <c r="H907" s="11" t="str">
        <f t="shared" si="87"/>
        <v/>
      </c>
      <c r="I907" s="12" t="str">
        <f t="shared" si="88"/>
        <v/>
      </c>
      <c r="J907" s="13" t="str">
        <f t="shared" si="89"/>
        <v/>
      </c>
    </row>
    <row r="908" spans="1:10" ht="23.1" customHeight="1">
      <c r="A908" s="1" t="str">
        <f>IF(COUNTA(B908:C908)=0,"",900)</f>
        <v/>
      </c>
      <c r="B908" s="8"/>
      <c r="C908" s="9"/>
      <c r="D908" s="10" t="str">
        <f t="shared" si="84"/>
        <v/>
      </c>
      <c r="E908" s="1"/>
      <c r="F908" s="11" t="str">
        <f t="shared" si="85"/>
        <v/>
      </c>
      <c r="G908" s="11" t="str">
        <f t="shared" si="86"/>
        <v/>
      </c>
      <c r="H908" s="11" t="str">
        <f t="shared" si="87"/>
        <v/>
      </c>
      <c r="I908" s="12" t="str">
        <f t="shared" si="88"/>
        <v/>
      </c>
      <c r="J908" s="13" t="str">
        <f t="shared" si="89"/>
        <v/>
      </c>
    </row>
    <row r="909" spans="1:10" ht="23.1" customHeight="1">
      <c r="A909" s="1" t="str">
        <f>IF(COUNTA(B909:C909)=0,"",901)</f>
        <v/>
      </c>
      <c r="B909" s="8"/>
      <c r="C909" s="9"/>
      <c r="D909" s="10" t="str">
        <f t="shared" si="84"/>
        <v/>
      </c>
      <c r="E909" s="1"/>
      <c r="F909" s="11" t="str">
        <f t="shared" si="85"/>
        <v/>
      </c>
      <c r="G909" s="11" t="str">
        <f t="shared" si="86"/>
        <v/>
      </c>
      <c r="H909" s="11" t="str">
        <f t="shared" si="87"/>
        <v/>
      </c>
      <c r="I909" s="12" t="str">
        <f t="shared" si="88"/>
        <v/>
      </c>
      <c r="J909" s="13" t="str">
        <f t="shared" si="89"/>
        <v/>
      </c>
    </row>
    <row r="910" spans="1:10" ht="23.1" customHeight="1">
      <c r="A910" s="1" t="str">
        <f>IF(COUNTA(B910:C910)=0,"",902)</f>
        <v/>
      </c>
      <c r="B910" s="8"/>
      <c r="C910" s="9"/>
      <c r="D910" s="10" t="str">
        <f t="shared" si="84"/>
        <v/>
      </c>
      <c r="E910" s="1"/>
      <c r="F910" s="11" t="str">
        <f t="shared" si="85"/>
        <v/>
      </c>
      <c r="G910" s="11" t="str">
        <f t="shared" si="86"/>
        <v/>
      </c>
      <c r="H910" s="11" t="str">
        <f t="shared" si="87"/>
        <v/>
      </c>
      <c r="I910" s="12" t="str">
        <f t="shared" si="88"/>
        <v/>
      </c>
      <c r="J910" s="13" t="str">
        <f t="shared" si="89"/>
        <v/>
      </c>
    </row>
    <row r="911" spans="1:10" ht="23.1" customHeight="1">
      <c r="A911" s="1" t="str">
        <f>IF(COUNTA(B911:C911)=0,"",903)</f>
        <v/>
      </c>
      <c r="B911" s="8"/>
      <c r="C911" s="9"/>
      <c r="D911" s="10" t="str">
        <f t="shared" si="84"/>
        <v/>
      </c>
      <c r="E911" s="1"/>
      <c r="F911" s="11" t="str">
        <f t="shared" si="85"/>
        <v/>
      </c>
      <c r="G911" s="11" t="str">
        <f t="shared" si="86"/>
        <v/>
      </c>
      <c r="H911" s="11" t="str">
        <f t="shared" si="87"/>
        <v/>
      </c>
      <c r="I911" s="12" t="str">
        <f t="shared" si="88"/>
        <v/>
      </c>
      <c r="J911" s="13" t="str">
        <f t="shared" si="89"/>
        <v/>
      </c>
    </row>
    <row r="912" spans="1:10" ht="23.1" customHeight="1">
      <c r="A912" s="1" t="str">
        <f>IF(COUNTA(B912:C912)=0,"",904)</f>
        <v/>
      </c>
      <c r="B912" s="8"/>
      <c r="C912" s="9"/>
      <c r="D912" s="10" t="str">
        <f t="shared" si="84"/>
        <v/>
      </c>
      <c r="E912" s="1"/>
      <c r="F912" s="11" t="str">
        <f t="shared" si="85"/>
        <v/>
      </c>
      <c r="G912" s="11" t="str">
        <f t="shared" si="86"/>
        <v/>
      </c>
      <c r="H912" s="11" t="str">
        <f t="shared" si="87"/>
        <v/>
      </c>
      <c r="I912" s="12" t="str">
        <f t="shared" si="88"/>
        <v/>
      </c>
      <c r="J912" s="13" t="str">
        <f t="shared" si="89"/>
        <v/>
      </c>
    </row>
    <row r="913" spans="1:10" ht="23.1" customHeight="1">
      <c r="A913" s="1" t="str">
        <f>IF(COUNTA(B913:C913)=0,"",905)</f>
        <v/>
      </c>
      <c r="B913" s="8"/>
      <c r="C913" s="9"/>
      <c r="D913" s="10" t="str">
        <f t="shared" si="84"/>
        <v/>
      </c>
      <c r="E913" s="1"/>
      <c r="F913" s="11" t="str">
        <f t="shared" si="85"/>
        <v/>
      </c>
      <c r="G913" s="11" t="str">
        <f t="shared" si="86"/>
        <v/>
      </c>
      <c r="H913" s="11" t="str">
        <f t="shared" si="87"/>
        <v/>
      </c>
      <c r="I913" s="12" t="str">
        <f t="shared" si="88"/>
        <v/>
      </c>
      <c r="J913" s="13" t="str">
        <f t="shared" si="89"/>
        <v/>
      </c>
    </row>
    <row r="914" spans="1:10" ht="23.1" customHeight="1">
      <c r="A914" s="1" t="str">
        <f>IF(COUNTA(B914:C914)=0,"",906)</f>
        <v/>
      </c>
      <c r="B914" s="8"/>
      <c r="C914" s="9"/>
      <c r="D914" s="10" t="str">
        <f t="shared" si="84"/>
        <v/>
      </c>
      <c r="E914" s="1"/>
      <c r="F914" s="11" t="str">
        <f t="shared" si="85"/>
        <v/>
      </c>
      <c r="G914" s="11" t="str">
        <f t="shared" si="86"/>
        <v/>
      </c>
      <c r="H914" s="11" t="str">
        <f t="shared" si="87"/>
        <v/>
      </c>
      <c r="I914" s="12" t="str">
        <f t="shared" si="88"/>
        <v/>
      </c>
      <c r="J914" s="13" t="str">
        <f t="shared" si="89"/>
        <v/>
      </c>
    </row>
    <row r="915" spans="1:10" ht="23.1" customHeight="1">
      <c r="A915" s="1" t="str">
        <f>IF(COUNTA(B915:C915)=0,"",907)</f>
        <v/>
      </c>
      <c r="B915" s="8"/>
      <c r="C915" s="9"/>
      <c r="D915" s="10" t="str">
        <f t="shared" si="84"/>
        <v/>
      </c>
      <c r="E915" s="1"/>
      <c r="F915" s="11" t="str">
        <f t="shared" si="85"/>
        <v/>
      </c>
      <c r="G915" s="11" t="str">
        <f t="shared" si="86"/>
        <v/>
      </c>
      <c r="H915" s="11" t="str">
        <f t="shared" si="87"/>
        <v/>
      </c>
      <c r="I915" s="12" t="str">
        <f t="shared" si="88"/>
        <v/>
      </c>
      <c r="J915" s="13" t="str">
        <f t="shared" si="89"/>
        <v/>
      </c>
    </row>
    <row r="916" spans="1:10" ht="23.1" customHeight="1">
      <c r="A916" s="1" t="str">
        <f>IF(COUNTA(B916:C916)=0,"",908)</f>
        <v/>
      </c>
      <c r="B916" s="8"/>
      <c r="C916" s="9"/>
      <c r="D916" s="10" t="str">
        <f t="shared" si="84"/>
        <v/>
      </c>
      <c r="E916" s="1"/>
      <c r="F916" s="11" t="str">
        <f t="shared" si="85"/>
        <v/>
      </c>
      <c r="G916" s="11" t="str">
        <f t="shared" si="86"/>
        <v/>
      </c>
      <c r="H916" s="11" t="str">
        <f t="shared" si="87"/>
        <v/>
      </c>
      <c r="I916" s="12" t="str">
        <f t="shared" si="88"/>
        <v/>
      </c>
      <c r="J916" s="13" t="str">
        <f t="shared" si="89"/>
        <v/>
      </c>
    </row>
    <row r="917" spans="1:10" ht="23.1" customHeight="1">
      <c r="A917" s="1" t="str">
        <f>IF(COUNTA(B917:C917)=0,"",909)</f>
        <v/>
      </c>
      <c r="B917" s="8"/>
      <c r="C917" s="9"/>
      <c r="D917" s="10" t="str">
        <f t="shared" si="84"/>
        <v/>
      </c>
      <c r="E917" s="1"/>
      <c r="F917" s="11" t="str">
        <f t="shared" si="85"/>
        <v/>
      </c>
      <c r="G917" s="11" t="str">
        <f t="shared" si="86"/>
        <v/>
      </c>
      <c r="H917" s="11" t="str">
        <f t="shared" si="87"/>
        <v/>
      </c>
      <c r="I917" s="12" t="str">
        <f t="shared" si="88"/>
        <v/>
      </c>
      <c r="J917" s="13" t="str">
        <f t="shared" si="89"/>
        <v/>
      </c>
    </row>
    <row r="918" spans="1:10" ht="23.1" customHeight="1">
      <c r="A918" s="1" t="str">
        <f>IF(COUNTA(B918:C918)=0,"",910)</f>
        <v/>
      </c>
      <c r="B918" s="8"/>
      <c r="C918" s="9"/>
      <c r="D918" s="10" t="str">
        <f t="shared" si="84"/>
        <v/>
      </c>
      <c r="E918" s="1"/>
      <c r="F918" s="11" t="str">
        <f t="shared" si="85"/>
        <v/>
      </c>
      <c r="G918" s="11" t="str">
        <f t="shared" si="86"/>
        <v/>
      </c>
      <c r="H918" s="11" t="str">
        <f t="shared" si="87"/>
        <v/>
      </c>
      <c r="I918" s="12" t="str">
        <f t="shared" si="88"/>
        <v/>
      </c>
      <c r="J918" s="13" t="str">
        <f t="shared" si="89"/>
        <v/>
      </c>
    </row>
    <row r="919" spans="1:10" ht="23.1" customHeight="1">
      <c r="A919" s="1" t="str">
        <f>IF(COUNTA(B919:C919)=0,"",911)</f>
        <v/>
      </c>
      <c r="B919" s="8"/>
      <c r="C919" s="9"/>
      <c r="D919" s="10" t="str">
        <f t="shared" si="84"/>
        <v/>
      </c>
      <c r="E919" s="1"/>
      <c r="F919" s="11" t="str">
        <f t="shared" si="85"/>
        <v/>
      </c>
      <c r="G919" s="11" t="str">
        <f t="shared" si="86"/>
        <v/>
      </c>
      <c r="H919" s="11" t="str">
        <f t="shared" si="87"/>
        <v/>
      </c>
      <c r="I919" s="12" t="str">
        <f t="shared" si="88"/>
        <v/>
      </c>
      <c r="J919" s="13" t="str">
        <f t="shared" si="89"/>
        <v/>
      </c>
    </row>
    <row r="920" spans="1:10" ht="23.1" customHeight="1">
      <c r="A920" s="1" t="str">
        <f>IF(COUNTA(B920:C920)=0,"",912)</f>
        <v/>
      </c>
      <c r="B920" s="8"/>
      <c r="C920" s="9"/>
      <c r="D920" s="10" t="str">
        <f t="shared" si="84"/>
        <v/>
      </c>
      <c r="E920" s="1"/>
      <c r="F920" s="11" t="str">
        <f t="shared" si="85"/>
        <v/>
      </c>
      <c r="G920" s="11" t="str">
        <f t="shared" si="86"/>
        <v/>
      </c>
      <c r="H920" s="11" t="str">
        <f t="shared" si="87"/>
        <v/>
      </c>
      <c r="I920" s="12" t="str">
        <f t="shared" si="88"/>
        <v/>
      </c>
      <c r="J920" s="13" t="str">
        <f t="shared" si="89"/>
        <v/>
      </c>
    </row>
    <row r="921" spans="1:10" ht="23.1" customHeight="1">
      <c r="A921" s="1" t="str">
        <f>IF(COUNTA(B921:C921)=0,"",913)</f>
        <v/>
      </c>
      <c r="B921" s="8"/>
      <c r="C921" s="9"/>
      <c r="D921" s="10" t="str">
        <f t="shared" si="84"/>
        <v/>
      </c>
      <c r="E921" s="1"/>
      <c r="F921" s="11" t="str">
        <f t="shared" si="85"/>
        <v/>
      </c>
      <c r="G921" s="11" t="str">
        <f t="shared" si="86"/>
        <v/>
      </c>
      <c r="H921" s="11" t="str">
        <f t="shared" si="87"/>
        <v/>
      </c>
      <c r="I921" s="12" t="str">
        <f t="shared" si="88"/>
        <v/>
      </c>
      <c r="J921" s="13" t="str">
        <f t="shared" si="89"/>
        <v/>
      </c>
    </row>
    <row r="922" spans="1:10" ht="23.1" customHeight="1">
      <c r="A922" s="1" t="str">
        <f>IF(COUNTA(B922:C922)=0,"",914)</f>
        <v/>
      </c>
      <c r="B922" s="8"/>
      <c r="C922" s="9"/>
      <c r="D922" s="10" t="str">
        <f t="shared" si="84"/>
        <v/>
      </c>
      <c r="E922" s="1"/>
      <c r="F922" s="11" t="str">
        <f t="shared" si="85"/>
        <v/>
      </c>
      <c r="G922" s="11" t="str">
        <f t="shared" si="86"/>
        <v/>
      </c>
      <c r="H922" s="11" t="str">
        <f t="shared" si="87"/>
        <v/>
      </c>
      <c r="I922" s="12" t="str">
        <f t="shared" si="88"/>
        <v/>
      </c>
      <c r="J922" s="13" t="str">
        <f t="shared" si="89"/>
        <v/>
      </c>
    </row>
    <row r="923" spans="1:10" ht="23.1" customHeight="1">
      <c r="A923" s="1" t="str">
        <f>IF(COUNTA(B923:C923)=0,"",915)</f>
        <v/>
      </c>
      <c r="B923" s="8"/>
      <c r="C923" s="9"/>
      <c r="D923" s="10" t="str">
        <f t="shared" si="84"/>
        <v/>
      </c>
      <c r="E923" s="1"/>
      <c r="F923" s="11" t="str">
        <f t="shared" si="85"/>
        <v/>
      </c>
      <c r="G923" s="11" t="str">
        <f t="shared" si="86"/>
        <v/>
      </c>
      <c r="H923" s="11" t="str">
        <f t="shared" si="87"/>
        <v/>
      </c>
      <c r="I923" s="12" t="str">
        <f t="shared" si="88"/>
        <v/>
      </c>
      <c r="J923" s="13" t="str">
        <f t="shared" si="89"/>
        <v/>
      </c>
    </row>
    <row r="924" spans="1:10" ht="23.1" customHeight="1">
      <c r="A924" s="1" t="str">
        <f>IF(COUNTA(B924:C924)=0,"",916)</f>
        <v/>
      </c>
      <c r="B924" s="8"/>
      <c r="C924" s="9"/>
      <c r="D924" s="10" t="str">
        <f t="shared" si="84"/>
        <v/>
      </c>
      <c r="E924" s="1"/>
      <c r="F924" s="11" t="str">
        <f t="shared" si="85"/>
        <v/>
      </c>
      <c r="G924" s="11" t="str">
        <f t="shared" si="86"/>
        <v/>
      </c>
      <c r="H924" s="11" t="str">
        <f t="shared" si="87"/>
        <v/>
      </c>
      <c r="I924" s="12" t="str">
        <f t="shared" si="88"/>
        <v/>
      </c>
      <c r="J924" s="13" t="str">
        <f t="shared" si="89"/>
        <v/>
      </c>
    </row>
    <row r="925" spans="1:10" ht="23.1" customHeight="1">
      <c r="A925" s="1" t="str">
        <f>IF(COUNTA(B925:C925)=0,"",917)</f>
        <v/>
      </c>
      <c r="B925" s="8"/>
      <c r="C925" s="9"/>
      <c r="D925" s="10" t="str">
        <f t="shared" si="84"/>
        <v/>
      </c>
      <c r="E925" s="1"/>
      <c r="F925" s="11" t="str">
        <f t="shared" si="85"/>
        <v/>
      </c>
      <c r="G925" s="11" t="str">
        <f t="shared" si="86"/>
        <v/>
      </c>
      <c r="H925" s="11" t="str">
        <f t="shared" si="87"/>
        <v/>
      </c>
      <c r="I925" s="12" t="str">
        <f t="shared" si="88"/>
        <v/>
      </c>
      <c r="J925" s="13" t="str">
        <f t="shared" si="89"/>
        <v/>
      </c>
    </row>
    <row r="926" spans="1:10" ht="23.1" customHeight="1">
      <c r="A926" s="1" t="str">
        <f>IF(COUNTA(B926:C926)=0,"",918)</f>
        <v/>
      </c>
      <c r="B926" s="8"/>
      <c r="C926" s="9"/>
      <c r="D926" s="10" t="str">
        <f t="shared" si="84"/>
        <v/>
      </c>
      <c r="E926" s="1"/>
      <c r="F926" s="11" t="str">
        <f t="shared" si="85"/>
        <v/>
      </c>
      <c r="G926" s="11" t="str">
        <f t="shared" si="86"/>
        <v/>
      </c>
      <c r="H926" s="11" t="str">
        <f t="shared" si="87"/>
        <v/>
      </c>
      <c r="I926" s="12" t="str">
        <f t="shared" si="88"/>
        <v/>
      </c>
      <c r="J926" s="13" t="str">
        <f t="shared" si="89"/>
        <v/>
      </c>
    </row>
    <row r="927" spans="1:10" ht="23.1" customHeight="1">
      <c r="A927" s="1" t="str">
        <f>IF(COUNTA(B927:C927)=0,"",919)</f>
        <v/>
      </c>
      <c r="B927" s="8"/>
      <c r="C927" s="9"/>
      <c r="D927" s="10" t="str">
        <f t="shared" si="84"/>
        <v/>
      </c>
      <c r="E927" s="1"/>
      <c r="F927" s="11" t="str">
        <f t="shared" si="85"/>
        <v/>
      </c>
      <c r="G927" s="11" t="str">
        <f t="shared" si="86"/>
        <v/>
      </c>
      <c r="H927" s="11" t="str">
        <f t="shared" si="87"/>
        <v/>
      </c>
      <c r="I927" s="12" t="str">
        <f t="shared" si="88"/>
        <v/>
      </c>
      <c r="J927" s="13" t="str">
        <f t="shared" si="89"/>
        <v/>
      </c>
    </row>
    <row r="928" spans="1:10" ht="23.1" customHeight="1">
      <c r="A928" s="1" t="str">
        <f>IF(COUNTA(B928:C928)=0,"",920)</f>
        <v/>
      </c>
      <c r="B928" s="8"/>
      <c r="C928" s="9"/>
      <c r="D928" s="10" t="str">
        <f t="shared" si="84"/>
        <v/>
      </c>
      <c r="E928" s="1"/>
      <c r="F928" s="11" t="str">
        <f t="shared" si="85"/>
        <v/>
      </c>
      <c r="G928" s="11" t="str">
        <f t="shared" si="86"/>
        <v/>
      </c>
      <c r="H928" s="11" t="str">
        <f t="shared" si="87"/>
        <v/>
      </c>
      <c r="I928" s="12" t="str">
        <f t="shared" si="88"/>
        <v/>
      </c>
      <c r="J928" s="13" t="str">
        <f t="shared" si="89"/>
        <v/>
      </c>
    </row>
    <row r="929" spans="1:10" ht="23.1" customHeight="1">
      <c r="A929" s="1" t="str">
        <f>IF(COUNTA(B929:C929)=0,"",921)</f>
        <v/>
      </c>
      <c r="B929" s="8"/>
      <c r="C929" s="9"/>
      <c r="D929" s="10" t="str">
        <f t="shared" si="84"/>
        <v/>
      </c>
      <c r="E929" s="1"/>
      <c r="F929" s="11" t="str">
        <f t="shared" si="85"/>
        <v/>
      </c>
      <c r="G929" s="11" t="str">
        <f t="shared" si="86"/>
        <v/>
      </c>
      <c r="H929" s="11" t="str">
        <f t="shared" si="87"/>
        <v/>
      </c>
      <c r="I929" s="12" t="str">
        <f t="shared" si="88"/>
        <v/>
      </c>
      <c r="J929" s="13" t="str">
        <f t="shared" si="89"/>
        <v/>
      </c>
    </row>
    <row r="930" spans="1:10" ht="23.1" customHeight="1">
      <c r="A930" s="1" t="str">
        <f>IF(COUNTA(B930:C930)=0,"",922)</f>
        <v/>
      </c>
      <c r="B930" s="8"/>
      <c r="C930" s="9"/>
      <c r="D930" s="10" t="str">
        <f t="shared" si="84"/>
        <v/>
      </c>
      <c r="E930" s="1"/>
      <c r="F930" s="11" t="str">
        <f t="shared" si="85"/>
        <v/>
      </c>
      <c r="G930" s="11" t="str">
        <f t="shared" si="86"/>
        <v/>
      </c>
      <c r="H930" s="11" t="str">
        <f t="shared" si="87"/>
        <v/>
      </c>
      <c r="I930" s="12" t="str">
        <f t="shared" si="88"/>
        <v/>
      </c>
      <c r="J930" s="13" t="str">
        <f t="shared" si="89"/>
        <v/>
      </c>
    </row>
    <row r="931" spans="1:10" ht="23.1" customHeight="1">
      <c r="A931" s="1" t="str">
        <f>IF(COUNTA(B931:C931)=0,"",923)</f>
        <v/>
      </c>
      <c r="B931" s="8"/>
      <c r="C931" s="9"/>
      <c r="D931" s="10" t="str">
        <f t="shared" si="84"/>
        <v/>
      </c>
      <c r="E931" s="1"/>
      <c r="F931" s="11" t="str">
        <f t="shared" si="85"/>
        <v/>
      </c>
      <c r="G931" s="11" t="str">
        <f t="shared" si="86"/>
        <v/>
      </c>
      <c r="H931" s="11" t="str">
        <f t="shared" si="87"/>
        <v/>
      </c>
      <c r="I931" s="12" t="str">
        <f t="shared" si="88"/>
        <v/>
      </c>
      <c r="J931" s="13" t="str">
        <f t="shared" si="89"/>
        <v/>
      </c>
    </row>
    <row r="932" spans="1:10" ht="23.1" customHeight="1">
      <c r="A932" s="1" t="str">
        <f>IF(COUNTA(B932:C932)=0,"",924)</f>
        <v/>
      </c>
      <c r="B932" s="8"/>
      <c r="C932" s="9"/>
      <c r="D932" s="10" t="str">
        <f t="shared" si="84"/>
        <v/>
      </c>
      <c r="E932" s="1"/>
      <c r="F932" s="11" t="str">
        <f t="shared" si="85"/>
        <v/>
      </c>
      <c r="G932" s="11" t="str">
        <f t="shared" si="86"/>
        <v/>
      </c>
      <c r="H932" s="11" t="str">
        <f t="shared" si="87"/>
        <v/>
      </c>
      <c r="I932" s="12" t="str">
        <f t="shared" si="88"/>
        <v/>
      </c>
      <c r="J932" s="13" t="str">
        <f t="shared" si="89"/>
        <v/>
      </c>
    </row>
    <row r="933" spans="1:10" ht="23.1" customHeight="1">
      <c r="A933" s="1" t="str">
        <f>IF(COUNTA(B933:C933)=0,"",925)</f>
        <v/>
      </c>
      <c r="B933" s="8"/>
      <c r="C933" s="9"/>
      <c r="D933" s="10" t="str">
        <f t="shared" si="84"/>
        <v/>
      </c>
      <c r="E933" s="1"/>
      <c r="F933" s="11" t="str">
        <f t="shared" si="85"/>
        <v/>
      </c>
      <c r="G933" s="11" t="str">
        <f t="shared" si="86"/>
        <v/>
      </c>
      <c r="H933" s="11" t="str">
        <f t="shared" si="87"/>
        <v/>
      </c>
      <c r="I933" s="12" t="str">
        <f t="shared" si="88"/>
        <v/>
      </c>
      <c r="J933" s="13" t="str">
        <f t="shared" si="89"/>
        <v/>
      </c>
    </row>
    <row r="934" spans="1:10" ht="23.1" customHeight="1">
      <c r="A934" s="1" t="str">
        <f>IF(COUNTA(B934:C934)=0,"",926)</f>
        <v/>
      </c>
      <c r="B934" s="8"/>
      <c r="C934" s="9"/>
      <c r="D934" s="10" t="str">
        <f t="shared" si="84"/>
        <v/>
      </c>
      <c r="E934" s="1"/>
      <c r="F934" s="11" t="str">
        <f t="shared" si="85"/>
        <v/>
      </c>
      <c r="G934" s="11" t="str">
        <f t="shared" si="86"/>
        <v/>
      </c>
      <c r="H934" s="11" t="str">
        <f t="shared" si="87"/>
        <v/>
      </c>
      <c r="I934" s="12" t="str">
        <f t="shared" si="88"/>
        <v/>
      </c>
      <c r="J934" s="13" t="str">
        <f t="shared" si="89"/>
        <v/>
      </c>
    </row>
    <row r="935" spans="1:10" ht="23.1" customHeight="1">
      <c r="A935" s="1" t="str">
        <f>IF(COUNTA(B935:C935)=0,"",927)</f>
        <v/>
      </c>
      <c r="B935" s="8"/>
      <c r="C935" s="9"/>
      <c r="D935" s="10" t="str">
        <f t="shared" si="84"/>
        <v/>
      </c>
      <c r="E935" s="1"/>
      <c r="F935" s="11" t="str">
        <f t="shared" si="85"/>
        <v/>
      </c>
      <c r="G935" s="11" t="str">
        <f t="shared" si="86"/>
        <v/>
      </c>
      <c r="H935" s="11" t="str">
        <f t="shared" si="87"/>
        <v/>
      </c>
      <c r="I935" s="12" t="str">
        <f t="shared" si="88"/>
        <v/>
      </c>
      <c r="J935" s="13" t="str">
        <f t="shared" si="89"/>
        <v/>
      </c>
    </row>
    <row r="936" spans="1:10" ht="23.1" customHeight="1">
      <c r="A936" s="1" t="str">
        <f>IF(COUNTA(B936:C936)=0,"",928)</f>
        <v/>
      </c>
      <c r="B936" s="8"/>
      <c r="C936" s="9"/>
      <c r="D936" s="10" t="str">
        <f t="shared" si="84"/>
        <v/>
      </c>
      <c r="E936" s="1"/>
      <c r="F936" s="11" t="str">
        <f t="shared" si="85"/>
        <v/>
      </c>
      <c r="G936" s="11" t="str">
        <f t="shared" si="86"/>
        <v/>
      </c>
      <c r="H936" s="11" t="str">
        <f t="shared" si="87"/>
        <v/>
      </c>
      <c r="I936" s="12" t="str">
        <f t="shared" si="88"/>
        <v/>
      </c>
      <c r="J936" s="13" t="str">
        <f t="shared" si="89"/>
        <v/>
      </c>
    </row>
    <row r="937" spans="1:10" ht="23.1" customHeight="1">
      <c r="A937" s="1" t="str">
        <f>IF(COUNTA(B937:C937)=0,"",929)</f>
        <v/>
      </c>
      <c r="B937" s="8"/>
      <c r="C937" s="9"/>
      <c r="D937" s="10" t="str">
        <f t="shared" si="84"/>
        <v/>
      </c>
      <c r="E937" s="1"/>
      <c r="F937" s="11" t="str">
        <f t="shared" si="85"/>
        <v/>
      </c>
      <c r="G937" s="11" t="str">
        <f t="shared" si="86"/>
        <v/>
      </c>
      <c r="H937" s="11" t="str">
        <f t="shared" si="87"/>
        <v/>
      </c>
      <c r="I937" s="12" t="str">
        <f t="shared" si="88"/>
        <v/>
      </c>
      <c r="J937" s="13" t="str">
        <f t="shared" si="89"/>
        <v/>
      </c>
    </row>
    <row r="938" spans="1:10" ht="23.1" customHeight="1">
      <c r="A938" s="1" t="str">
        <f>IF(COUNTA(B938:C938)=0,"",930)</f>
        <v/>
      </c>
      <c r="B938" s="8"/>
      <c r="C938" s="9"/>
      <c r="D938" s="10" t="str">
        <f t="shared" si="84"/>
        <v/>
      </c>
      <c r="E938" s="1"/>
      <c r="F938" s="11" t="str">
        <f t="shared" si="85"/>
        <v/>
      </c>
      <c r="G938" s="11" t="str">
        <f t="shared" si="86"/>
        <v/>
      </c>
      <c r="H938" s="11" t="str">
        <f t="shared" si="87"/>
        <v/>
      </c>
      <c r="I938" s="12" t="str">
        <f t="shared" si="88"/>
        <v/>
      </c>
      <c r="J938" s="13" t="str">
        <f t="shared" si="89"/>
        <v/>
      </c>
    </row>
    <row r="939" spans="1:10" ht="23.1" customHeight="1">
      <c r="A939" s="1" t="str">
        <f>IF(COUNTA(B939:C939)=0,"",931)</f>
        <v/>
      </c>
      <c r="B939" s="8"/>
      <c r="C939" s="9"/>
      <c r="D939" s="10" t="str">
        <f t="shared" si="84"/>
        <v/>
      </c>
      <c r="E939" s="1"/>
      <c r="F939" s="11" t="str">
        <f t="shared" si="85"/>
        <v/>
      </c>
      <c r="G939" s="11" t="str">
        <f t="shared" si="86"/>
        <v/>
      </c>
      <c r="H939" s="11" t="str">
        <f t="shared" si="87"/>
        <v/>
      </c>
      <c r="I939" s="12" t="str">
        <f t="shared" si="88"/>
        <v/>
      </c>
      <c r="J939" s="13" t="str">
        <f t="shared" si="89"/>
        <v/>
      </c>
    </row>
    <row r="940" spans="1:10" ht="23.1" customHeight="1">
      <c r="A940" s="1" t="str">
        <f>IF(COUNTA(B940:C940)=0,"",932)</f>
        <v/>
      </c>
      <c r="B940" s="8"/>
      <c r="C940" s="9"/>
      <c r="D940" s="10" t="str">
        <f t="shared" si="84"/>
        <v/>
      </c>
      <c r="E940" s="1"/>
      <c r="F940" s="11" t="str">
        <f t="shared" si="85"/>
        <v/>
      </c>
      <c r="G940" s="11" t="str">
        <f t="shared" si="86"/>
        <v/>
      </c>
      <c r="H940" s="11" t="str">
        <f t="shared" si="87"/>
        <v/>
      </c>
      <c r="I940" s="12" t="str">
        <f t="shared" si="88"/>
        <v/>
      </c>
      <c r="J940" s="13" t="str">
        <f t="shared" si="89"/>
        <v/>
      </c>
    </row>
    <row r="941" spans="1:10" ht="23.1" customHeight="1">
      <c r="A941" s="1" t="str">
        <f>IF(COUNTA(B941:C941)=0,"",933)</f>
        <v/>
      </c>
      <c r="B941" s="8"/>
      <c r="C941" s="9"/>
      <c r="D941" s="10" t="str">
        <f t="shared" si="84"/>
        <v/>
      </c>
      <c r="E941" s="1"/>
      <c r="F941" s="11" t="str">
        <f t="shared" si="85"/>
        <v/>
      </c>
      <c r="G941" s="11" t="str">
        <f t="shared" si="86"/>
        <v/>
      </c>
      <c r="H941" s="11" t="str">
        <f t="shared" si="87"/>
        <v/>
      </c>
      <c r="I941" s="12" t="str">
        <f t="shared" si="88"/>
        <v/>
      </c>
      <c r="J941" s="13" t="str">
        <f t="shared" si="89"/>
        <v/>
      </c>
    </row>
    <row r="942" spans="1:10" ht="23.1" customHeight="1">
      <c r="A942" s="1" t="str">
        <f>IF(COUNTA(B942:C942)=0,"",934)</f>
        <v/>
      </c>
      <c r="B942" s="8"/>
      <c r="C942" s="9"/>
      <c r="D942" s="10" t="str">
        <f t="shared" si="84"/>
        <v/>
      </c>
      <c r="E942" s="1"/>
      <c r="F942" s="11" t="str">
        <f t="shared" si="85"/>
        <v/>
      </c>
      <c r="G942" s="11" t="str">
        <f t="shared" si="86"/>
        <v/>
      </c>
      <c r="H942" s="11" t="str">
        <f t="shared" si="87"/>
        <v/>
      </c>
      <c r="I942" s="12" t="str">
        <f t="shared" si="88"/>
        <v/>
      </c>
      <c r="J942" s="13" t="str">
        <f t="shared" si="89"/>
        <v/>
      </c>
    </row>
    <row r="943" spans="1:10" ht="23.1" customHeight="1">
      <c r="A943" s="1" t="str">
        <f>IF(COUNTA(B943:C943)=0,"",935)</f>
        <v/>
      </c>
      <c r="B943" s="8"/>
      <c r="C943" s="9"/>
      <c r="D943" s="10" t="str">
        <f t="shared" si="84"/>
        <v/>
      </c>
      <c r="E943" s="1"/>
      <c r="F943" s="11" t="str">
        <f t="shared" si="85"/>
        <v/>
      </c>
      <c r="G943" s="11" t="str">
        <f t="shared" si="86"/>
        <v/>
      </c>
      <c r="H943" s="11" t="str">
        <f t="shared" si="87"/>
        <v/>
      </c>
      <c r="I943" s="12" t="str">
        <f t="shared" si="88"/>
        <v/>
      </c>
      <c r="J943" s="13" t="str">
        <f t="shared" si="89"/>
        <v/>
      </c>
    </row>
    <row r="944" spans="1:10" ht="23.1" customHeight="1">
      <c r="A944" s="1" t="str">
        <f>IF(COUNTA(B944:C944)=0,"",936)</f>
        <v/>
      </c>
      <c r="B944" s="8"/>
      <c r="C944" s="9"/>
      <c r="D944" s="10" t="str">
        <f t="shared" si="84"/>
        <v/>
      </c>
      <c r="E944" s="1"/>
      <c r="F944" s="11" t="str">
        <f t="shared" si="85"/>
        <v/>
      </c>
      <c r="G944" s="11" t="str">
        <f t="shared" si="86"/>
        <v/>
      </c>
      <c r="H944" s="11" t="str">
        <f t="shared" si="87"/>
        <v/>
      </c>
      <c r="I944" s="12" t="str">
        <f t="shared" si="88"/>
        <v/>
      </c>
      <c r="J944" s="13" t="str">
        <f t="shared" si="89"/>
        <v/>
      </c>
    </row>
    <row r="945" spans="1:10" ht="23.1" customHeight="1">
      <c r="A945" s="1" t="str">
        <f>IF(COUNTA(B945:C945)=0,"",937)</f>
        <v/>
      </c>
      <c r="B945" s="8"/>
      <c r="C945" s="9"/>
      <c r="D945" s="10" t="str">
        <f t="shared" si="84"/>
        <v/>
      </c>
      <c r="E945" s="1"/>
      <c r="F945" s="11" t="str">
        <f t="shared" si="85"/>
        <v/>
      </c>
      <c r="G945" s="11" t="str">
        <f t="shared" si="86"/>
        <v/>
      </c>
      <c r="H945" s="11" t="str">
        <f t="shared" si="87"/>
        <v/>
      </c>
      <c r="I945" s="12" t="str">
        <f t="shared" si="88"/>
        <v/>
      </c>
      <c r="J945" s="13" t="str">
        <f t="shared" si="89"/>
        <v/>
      </c>
    </row>
    <row r="946" spans="1:10" ht="23.1" customHeight="1">
      <c r="A946" s="1" t="str">
        <f>IF(COUNTA(B946:C946)=0,"",938)</f>
        <v/>
      </c>
      <c r="B946" s="8"/>
      <c r="C946" s="9"/>
      <c r="D946" s="10" t="str">
        <f t="shared" si="84"/>
        <v/>
      </c>
      <c r="E946" s="1"/>
      <c r="F946" s="11" t="str">
        <f t="shared" si="85"/>
        <v/>
      </c>
      <c r="G946" s="11" t="str">
        <f t="shared" si="86"/>
        <v/>
      </c>
      <c r="H946" s="11" t="str">
        <f t="shared" si="87"/>
        <v/>
      </c>
      <c r="I946" s="12" t="str">
        <f t="shared" si="88"/>
        <v/>
      </c>
      <c r="J946" s="13" t="str">
        <f t="shared" si="89"/>
        <v/>
      </c>
    </row>
    <row r="947" spans="1:10" ht="23.1" customHeight="1">
      <c r="A947" s="1" t="str">
        <f>IF(COUNTA(B947:C947)=0,"",939)</f>
        <v/>
      </c>
      <c r="B947" s="8"/>
      <c r="C947" s="9"/>
      <c r="D947" s="10" t="str">
        <f t="shared" si="84"/>
        <v/>
      </c>
      <c r="E947" s="1"/>
      <c r="F947" s="11" t="str">
        <f t="shared" si="85"/>
        <v/>
      </c>
      <c r="G947" s="11" t="str">
        <f t="shared" si="86"/>
        <v/>
      </c>
      <c r="H947" s="11" t="str">
        <f t="shared" si="87"/>
        <v/>
      </c>
      <c r="I947" s="12" t="str">
        <f t="shared" si="88"/>
        <v/>
      </c>
      <c r="J947" s="13" t="str">
        <f t="shared" si="89"/>
        <v/>
      </c>
    </row>
    <row r="948" spans="1:10" ht="23.1" customHeight="1">
      <c r="A948" s="1" t="str">
        <f>IF(COUNTA(B948:C948)=0,"",940)</f>
        <v/>
      </c>
      <c r="B948" s="8"/>
      <c r="C948" s="9"/>
      <c r="D948" s="10" t="str">
        <f t="shared" si="84"/>
        <v/>
      </c>
      <c r="E948" s="1"/>
      <c r="F948" s="11" t="str">
        <f t="shared" si="85"/>
        <v/>
      </c>
      <c r="G948" s="11" t="str">
        <f t="shared" si="86"/>
        <v/>
      </c>
      <c r="H948" s="11" t="str">
        <f t="shared" si="87"/>
        <v/>
      </c>
      <c r="I948" s="12" t="str">
        <f t="shared" si="88"/>
        <v/>
      </c>
      <c r="J948" s="13" t="str">
        <f t="shared" si="89"/>
        <v/>
      </c>
    </row>
    <row r="949" spans="1:10" ht="23.1" customHeight="1">
      <c r="A949" s="1" t="str">
        <f>IF(COUNTA(B949:C949)=0,"",941)</f>
        <v/>
      </c>
      <c r="B949" s="8"/>
      <c r="C949" s="9"/>
      <c r="D949" s="10" t="str">
        <f t="shared" si="84"/>
        <v/>
      </c>
      <c r="E949" s="1"/>
      <c r="F949" s="11" t="str">
        <f t="shared" si="85"/>
        <v/>
      </c>
      <c r="G949" s="11" t="str">
        <f t="shared" si="86"/>
        <v/>
      </c>
      <c r="H949" s="11" t="str">
        <f t="shared" si="87"/>
        <v/>
      </c>
      <c r="I949" s="12" t="str">
        <f t="shared" si="88"/>
        <v/>
      </c>
      <c r="J949" s="13" t="str">
        <f t="shared" si="89"/>
        <v/>
      </c>
    </row>
    <row r="950" spans="1:10" ht="23.1" customHeight="1">
      <c r="A950" s="1" t="str">
        <f>IF(COUNTA(B950:C950)=0,"",942)</f>
        <v/>
      </c>
      <c r="B950" s="8"/>
      <c r="C950" s="9"/>
      <c r="D950" s="10" t="str">
        <f t="shared" si="84"/>
        <v/>
      </c>
      <c r="E950" s="1"/>
      <c r="F950" s="11" t="str">
        <f t="shared" si="85"/>
        <v/>
      </c>
      <c r="G950" s="11" t="str">
        <f t="shared" si="86"/>
        <v/>
      </c>
      <c r="H950" s="11" t="str">
        <f t="shared" si="87"/>
        <v/>
      </c>
      <c r="I950" s="12" t="str">
        <f t="shared" si="88"/>
        <v/>
      </c>
      <c r="J950" s="13" t="str">
        <f t="shared" si="89"/>
        <v/>
      </c>
    </row>
    <row r="951" spans="1:10" ht="23.1" customHeight="1">
      <c r="A951" s="1" t="str">
        <f>IF(COUNTA(B951:C951)=0,"",943)</f>
        <v/>
      </c>
      <c r="B951" s="8"/>
      <c r="C951" s="9"/>
      <c r="D951" s="10" t="str">
        <f t="shared" si="84"/>
        <v/>
      </c>
      <c r="E951" s="1"/>
      <c r="F951" s="11" t="str">
        <f t="shared" si="85"/>
        <v/>
      </c>
      <c r="G951" s="11" t="str">
        <f t="shared" si="86"/>
        <v/>
      </c>
      <c r="H951" s="11" t="str">
        <f t="shared" si="87"/>
        <v/>
      </c>
      <c r="I951" s="12" t="str">
        <f t="shared" si="88"/>
        <v/>
      </c>
      <c r="J951" s="13" t="str">
        <f t="shared" si="89"/>
        <v/>
      </c>
    </row>
    <row r="952" spans="1:10" ht="23.1" customHeight="1">
      <c r="A952" s="1" t="str">
        <f>IF(COUNTA(B952:C952)=0,"",944)</f>
        <v/>
      </c>
      <c r="B952" s="8"/>
      <c r="C952" s="9"/>
      <c r="D952" s="10" t="str">
        <f t="shared" si="84"/>
        <v/>
      </c>
      <c r="E952" s="1"/>
      <c r="F952" s="11" t="str">
        <f t="shared" si="85"/>
        <v/>
      </c>
      <c r="G952" s="11" t="str">
        <f t="shared" si="86"/>
        <v/>
      </c>
      <c r="H952" s="11" t="str">
        <f t="shared" si="87"/>
        <v/>
      </c>
      <c r="I952" s="12" t="str">
        <f t="shared" si="88"/>
        <v/>
      </c>
      <c r="J952" s="13" t="str">
        <f t="shared" si="89"/>
        <v/>
      </c>
    </row>
    <row r="953" spans="1:10" ht="23.1" customHeight="1">
      <c r="A953" s="1" t="str">
        <f>IF(COUNTA(B953:C953)=0,"",945)</f>
        <v/>
      </c>
      <c r="B953" s="8"/>
      <c r="C953" s="9"/>
      <c r="D953" s="10" t="str">
        <f t="shared" si="84"/>
        <v/>
      </c>
      <c r="E953" s="1"/>
      <c r="F953" s="11" t="str">
        <f t="shared" si="85"/>
        <v/>
      </c>
      <c r="G953" s="11" t="str">
        <f t="shared" si="86"/>
        <v/>
      </c>
      <c r="H953" s="11" t="str">
        <f t="shared" si="87"/>
        <v/>
      </c>
      <c r="I953" s="12" t="str">
        <f t="shared" si="88"/>
        <v/>
      </c>
      <c r="J953" s="13" t="str">
        <f t="shared" si="89"/>
        <v/>
      </c>
    </row>
    <row r="954" spans="1:10" ht="23.1" customHeight="1">
      <c r="A954" s="1" t="str">
        <f>IF(COUNTA(B954:C954)=0,"",946)</f>
        <v/>
      </c>
      <c r="B954" s="8"/>
      <c r="C954" s="9"/>
      <c r="D954" s="10" t="str">
        <f t="shared" si="84"/>
        <v/>
      </c>
      <c r="E954" s="1"/>
      <c r="F954" s="11" t="str">
        <f t="shared" si="85"/>
        <v/>
      </c>
      <c r="G954" s="11" t="str">
        <f t="shared" si="86"/>
        <v/>
      </c>
      <c r="H954" s="11" t="str">
        <f t="shared" si="87"/>
        <v/>
      </c>
      <c r="I954" s="12" t="str">
        <f t="shared" si="88"/>
        <v/>
      </c>
      <c r="J954" s="13" t="str">
        <f t="shared" si="89"/>
        <v/>
      </c>
    </row>
    <row r="955" spans="1:10" ht="23.1" customHeight="1">
      <c r="A955" s="1" t="str">
        <f>IF(COUNTA(B955:C955)=0,"",947)</f>
        <v/>
      </c>
      <c r="B955" s="8"/>
      <c r="C955" s="9"/>
      <c r="D955" s="10" t="str">
        <f t="shared" si="84"/>
        <v/>
      </c>
      <c r="E955" s="1"/>
      <c r="F955" s="11" t="str">
        <f t="shared" si="85"/>
        <v/>
      </c>
      <c r="G955" s="11" t="str">
        <f t="shared" si="86"/>
        <v/>
      </c>
      <c r="H955" s="11" t="str">
        <f t="shared" si="87"/>
        <v/>
      </c>
      <c r="I955" s="12" t="str">
        <f t="shared" si="88"/>
        <v/>
      </c>
      <c r="J955" s="13" t="str">
        <f t="shared" si="89"/>
        <v/>
      </c>
    </row>
    <row r="956" spans="1:10" ht="23.1" customHeight="1">
      <c r="A956" s="1" t="str">
        <f>IF(COUNTA(B956:C956)=0,"",948)</f>
        <v/>
      </c>
      <c r="B956" s="8"/>
      <c r="C956" s="9"/>
      <c r="D956" s="10" t="str">
        <f t="shared" si="84"/>
        <v/>
      </c>
      <c r="E956" s="1"/>
      <c r="F956" s="11" t="str">
        <f t="shared" si="85"/>
        <v/>
      </c>
      <c r="G956" s="11" t="str">
        <f t="shared" si="86"/>
        <v/>
      </c>
      <c r="H956" s="11" t="str">
        <f t="shared" si="87"/>
        <v/>
      </c>
      <c r="I956" s="12" t="str">
        <f t="shared" si="88"/>
        <v/>
      </c>
      <c r="J956" s="13" t="str">
        <f t="shared" si="89"/>
        <v/>
      </c>
    </row>
    <row r="957" spans="1:10" ht="23.1" customHeight="1">
      <c r="A957" s="1" t="str">
        <f>IF(COUNTA(B957:C957)=0,"",949)</f>
        <v/>
      </c>
      <c r="B957" s="8"/>
      <c r="C957" s="9"/>
      <c r="D957" s="10" t="str">
        <f t="shared" si="84"/>
        <v/>
      </c>
      <c r="E957" s="1"/>
      <c r="F957" s="11" t="str">
        <f t="shared" si="85"/>
        <v/>
      </c>
      <c r="G957" s="11" t="str">
        <f t="shared" si="86"/>
        <v/>
      </c>
      <c r="H957" s="11" t="str">
        <f t="shared" si="87"/>
        <v/>
      </c>
      <c r="I957" s="12" t="str">
        <f t="shared" si="88"/>
        <v/>
      </c>
      <c r="J957" s="13" t="str">
        <f t="shared" si="89"/>
        <v/>
      </c>
    </row>
    <row r="958" spans="1:10" ht="23.1" customHeight="1">
      <c r="A958" s="1" t="str">
        <f>IF(COUNTA(B958:C958)=0,"",950)</f>
        <v/>
      </c>
      <c r="B958" s="8"/>
      <c r="C958" s="9"/>
      <c r="D958" s="10" t="str">
        <f t="shared" si="84"/>
        <v/>
      </c>
      <c r="E958" s="1"/>
      <c r="F958" s="11" t="str">
        <f t="shared" si="85"/>
        <v/>
      </c>
      <c r="G958" s="11" t="str">
        <f t="shared" si="86"/>
        <v/>
      </c>
      <c r="H958" s="11" t="str">
        <f t="shared" si="87"/>
        <v/>
      </c>
      <c r="I958" s="12" t="str">
        <f t="shared" si="88"/>
        <v/>
      </c>
      <c r="J958" s="13" t="str">
        <f t="shared" si="89"/>
        <v/>
      </c>
    </row>
    <row r="959" spans="1:10" ht="23.1" customHeight="1">
      <c r="A959" s="1" t="str">
        <f>IF(COUNTA(B959:C959)=0,"",951)</f>
        <v/>
      </c>
      <c r="B959" s="8"/>
      <c r="C959" s="9"/>
      <c r="D959" s="10" t="str">
        <f t="shared" si="84"/>
        <v/>
      </c>
      <c r="E959" s="1"/>
      <c r="F959" s="11" t="str">
        <f t="shared" si="85"/>
        <v/>
      </c>
      <c r="G959" s="11" t="str">
        <f t="shared" si="86"/>
        <v/>
      </c>
      <c r="H959" s="11" t="str">
        <f t="shared" si="87"/>
        <v/>
      </c>
      <c r="I959" s="12" t="str">
        <f t="shared" si="88"/>
        <v/>
      </c>
      <c r="J959" s="13" t="str">
        <f t="shared" si="89"/>
        <v/>
      </c>
    </row>
    <row r="960" spans="1:10" ht="23.1" customHeight="1">
      <c r="A960" s="1" t="str">
        <f>IF(COUNTA(B960:C960)=0,"",952)</f>
        <v/>
      </c>
      <c r="B960" s="8"/>
      <c r="C960" s="9"/>
      <c r="D960" s="10" t="str">
        <f t="shared" si="84"/>
        <v/>
      </c>
      <c r="E960" s="1"/>
      <c r="F960" s="11" t="str">
        <f t="shared" si="85"/>
        <v/>
      </c>
      <c r="G960" s="11" t="str">
        <f t="shared" si="86"/>
        <v/>
      </c>
      <c r="H960" s="11" t="str">
        <f t="shared" si="87"/>
        <v/>
      </c>
      <c r="I960" s="12" t="str">
        <f t="shared" si="88"/>
        <v/>
      </c>
      <c r="J960" s="13" t="str">
        <f t="shared" si="89"/>
        <v/>
      </c>
    </row>
    <row r="961" spans="1:10" ht="23.1" customHeight="1">
      <c r="A961" s="1" t="str">
        <f>IF(COUNTA(B961:C961)=0,"",953)</f>
        <v/>
      </c>
      <c r="B961" s="8"/>
      <c r="C961" s="9"/>
      <c r="D961" s="10" t="str">
        <f t="shared" si="84"/>
        <v/>
      </c>
      <c r="E961" s="1"/>
      <c r="F961" s="11" t="str">
        <f t="shared" si="85"/>
        <v/>
      </c>
      <c r="G961" s="11" t="str">
        <f t="shared" si="86"/>
        <v/>
      </c>
      <c r="H961" s="11" t="str">
        <f t="shared" si="87"/>
        <v/>
      </c>
      <c r="I961" s="12" t="str">
        <f t="shared" si="88"/>
        <v/>
      </c>
      <c r="J961" s="13" t="str">
        <f t="shared" si="89"/>
        <v/>
      </c>
    </row>
    <row r="962" spans="1:10" ht="23.1" customHeight="1">
      <c r="A962" s="1" t="str">
        <f>IF(COUNTA(B962:C962)=0,"",954)</f>
        <v/>
      </c>
      <c r="B962" s="8"/>
      <c r="C962" s="9"/>
      <c r="D962" s="10" t="str">
        <f t="shared" si="84"/>
        <v/>
      </c>
      <c r="E962" s="1"/>
      <c r="F962" s="11" t="str">
        <f t="shared" si="85"/>
        <v/>
      </c>
      <c r="G962" s="11" t="str">
        <f t="shared" si="86"/>
        <v/>
      </c>
      <c r="H962" s="11" t="str">
        <f t="shared" si="87"/>
        <v/>
      </c>
      <c r="I962" s="12" t="str">
        <f t="shared" si="88"/>
        <v/>
      </c>
      <c r="J962" s="13" t="str">
        <f t="shared" si="89"/>
        <v/>
      </c>
    </row>
    <row r="963" spans="1:10" ht="23.1" customHeight="1">
      <c r="A963" s="1" t="str">
        <f>IF(COUNTA(B963:C963)=0,"",955)</f>
        <v/>
      </c>
      <c r="B963" s="8"/>
      <c r="C963" s="9"/>
      <c r="D963" s="10" t="str">
        <f t="shared" si="84"/>
        <v/>
      </c>
      <c r="E963" s="1"/>
      <c r="F963" s="11" t="str">
        <f t="shared" si="85"/>
        <v/>
      </c>
      <c r="G963" s="11" t="str">
        <f t="shared" si="86"/>
        <v/>
      </c>
      <c r="H963" s="11" t="str">
        <f t="shared" si="87"/>
        <v/>
      </c>
      <c r="I963" s="12" t="str">
        <f t="shared" si="88"/>
        <v/>
      </c>
      <c r="J963" s="13" t="str">
        <f t="shared" si="89"/>
        <v/>
      </c>
    </row>
    <row r="964" spans="1:10" ht="23.1" customHeight="1">
      <c r="A964" s="1" t="str">
        <f>IF(COUNTA(B964:C964)=0,"",956)</f>
        <v/>
      </c>
      <c r="B964" s="8"/>
      <c r="C964" s="9"/>
      <c r="D964" s="10" t="str">
        <f t="shared" si="84"/>
        <v/>
      </c>
      <c r="E964" s="1"/>
      <c r="F964" s="11" t="str">
        <f t="shared" si="85"/>
        <v/>
      </c>
      <c r="G964" s="11" t="str">
        <f t="shared" si="86"/>
        <v/>
      </c>
      <c r="H964" s="11" t="str">
        <f t="shared" si="87"/>
        <v/>
      </c>
      <c r="I964" s="12" t="str">
        <f t="shared" si="88"/>
        <v/>
      </c>
      <c r="J964" s="13" t="str">
        <f t="shared" si="89"/>
        <v/>
      </c>
    </row>
    <row r="965" spans="1:10" ht="23.1" customHeight="1">
      <c r="A965" s="1" t="str">
        <f>IF(COUNTA(B965:C965)=0,"",957)</f>
        <v/>
      </c>
      <c r="B965" s="8"/>
      <c r="C965" s="9"/>
      <c r="D965" s="10" t="str">
        <f t="shared" si="84"/>
        <v/>
      </c>
      <c r="E965" s="1"/>
      <c r="F965" s="11" t="str">
        <f t="shared" si="85"/>
        <v/>
      </c>
      <c r="G965" s="11" t="str">
        <f t="shared" si="86"/>
        <v/>
      </c>
      <c r="H965" s="11" t="str">
        <f t="shared" si="87"/>
        <v/>
      </c>
      <c r="I965" s="12" t="str">
        <f t="shared" si="88"/>
        <v/>
      </c>
      <c r="J965" s="13" t="str">
        <f t="shared" si="89"/>
        <v/>
      </c>
    </row>
    <row r="966" spans="1:10" ht="23.1" customHeight="1">
      <c r="A966" s="1" t="str">
        <f>IF(COUNTA(B966:C966)=0,"",958)</f>
        <v/>
      </c>
      <c r="B966" s="8"/>
      <c r="C966" s="9"/>
      <c r="D966" s="10" t="str">
        <f t="shared" si="84"/>
        <v/>
      </c>
      <c r="E966" s="1"/>
      <c r="F966" s="11" t="str">
        <f t="shared" si="85"/>
        <v/>
      </c>
      <c r="G966" s="11" t="str">
        <f t="shared" si="86"/>
        <v/>
      </c>
      <c r="H966" s="11" t="str">
        <f t="shared" si="87"/>
        <v/>
      </c>
      <c r="I966" s="12" t="str">
        <f t="shared" si="88"/>
        <v/>
      </c>
      <c r="J966" s="13" t="str">
        <f t="shared" si="89"/>
        <v/>
      </c>
    </row>
    <row r="967" spans="1:10" ht="23.1" customHeight="1">
      <c r="A967" s="1" t="str">
        <f>IF(COUNTA(B967:C967)=0,"",959)</f>
        <v/>
      </c>
      <c r="B967" s="8"/>
      <c r="C967" s="9"/>
      <c r="D967" s="10" t="str">
        <f t="shared" si="84"/>
        <v/>
      </c>
      <c r="E967" s="1"/>
      <c r="F967" s="11" t="str">
        <f t="shared" si="85"/>
        <v/>
      </c>
      <c r="G967" s="11" t="str">
        <f t="shared" si="86"/>
        <v/>
      </c>
      <c r="H967" s="11" t="str">
        <f t="shared" si="87"/>
        <v/>
      </c>
      <c r="I967" s="12" t="str">
        <f t="shared" si="88"/>
        <v/>
      </c>
      <c r="J967" s="13" t="str">
        <f t="shared" si="89"/>
        <v/>
      </c>
    </row>
    <row r="968" spans="1:10" ht="23.1" customHeight="1">
      <c r="A968" s="1" t="str">
        <f>IF(COUNTA(B968:C968)=0,"",960)</f>
        <v/>
      </c>
      <c r="B968" s="8"/>
      <c r="C968" s="9"/>
      <c r="D968" s="10" t="str">
        <f t="shared" si="84"/>
        <v/>
      </c>
      <c r="E968" s="1"/>
      <c r="F968" s="11" t="str">
        <f t="shared" si="85"/>
        <v/>
      </c>
      <c r="G968" s="11" t="str">
        <f t="shared" si="86"/>
        <v/>
      </c>
      <c r="H968" s="11" t="str">
        <f t="shared" si="87"/>
        <v/>
      </c>
      <c r="I968" s="12" t="str">
        <f t="shared" si="88"/>
        <v/>
      </c>
      <c r="J968" s="13" t="str">
        <f t="shared" si="89"/>
        <v/>
      </c>
    </row>
    <row r="969" spans="1:10" ht="23.1" customHeight="1">
      <c r="A969" s="1" t="str">
        <f>IF(COUNTA(B969:C969)=0,"",961)</f>
        <v/>
      </c>
      <c r="B969" s="8"/>
      <c r="C969" s="9"/>
      <c r="D969" s="10" t="str">
        <f t="shared" ref="D969:D1032" si="90">IF(NOT(ISNUMBER(C969)),"",ROUND(C969*30%,2))</f>
        <v/>
      </c>
      <c r="E969" s="1"/>
      <c r="F969" s="11" t="str">
        <f t="shared" ref="F969:F1008" si="91">IF(NOT(ISNUMBER(C969)),"",ROUND(H969*30%,2))</f>
        <v/>
      </c>
      <c r="G969" s="11" t="str">
        <f t="shared" ref="G969:G1032" si="92">IF(NOT(ISNUMBER(C969)),"",ROUND(H969-F969,2))</f>
        <v/>
      </c>
      <c r="H969" s="11" t="str">
        <f t="shared" ref="H969:H1008" si="93">IF(NOT(ISNUMBER(C969)),"",ROUND(C969-D969,2))</f>
        <v/>
      </c>
      <c r="I969" s="12" t="str">
        <f t="shared" ref="I969:I1008" si="94">IF(NOT(ISNUMBER(C969)),"",ROUND(C969-SUM(D969,F969:G969),2))</f>
        <v/>
      </c>
      <c r="J969" s="13" t="str">
        <f t="shared" ref="J969:J1008" si="95">IF(COUNTA(B969:C969)=0,"",IF(B969="","Falta apartamento",IF(NOT(ISNUMBER(C969)),"Falta valor","Completo")))</f>
        <v/>
      </c>
    </row>
    <row r="970" spans="1:10" ht="23.1" customHeight="1">
      <c r="A970" s="1" t="str">
        <f>IF(COUNTA(B970:C970)=0,"",962)</f>
        <v/>
      </c>
      <c r="B970" s="8"/>
      <c r="C970" s="9"/>
      <c r="D970" s="10" t="str">
        <f t="shared" si="90"/>
        <v/>
      </c>
      <c r="E970" s="1"/>
      <c r="F970" s="11" t="str">
        <f t="shared" si="91"/>
        <v/>
      </c>
      <c r="G970" s="11" t="str">
        <f t="shared" si="92"/>
        <v/>
      </c>
      <c r="H970" s="11" t="str">
        <f t="shared" si="93"/>
        <v/>
      </c>
      <c r="I970" s="12" t="str">
        <f t="shared" si="94"/>
        <v/>
      </c>
      <c r="J970" s="13" t="str">
        <f t="shared" si="95"/>
        <v/>
      </c>
    </row>
    <row r="971" spans="1:10" ht="23.1" customHeight="1">
      <c r="A971" s="1" t="str">
        <f>IF(COUNTA(B971:C971)=0,"",963)</f>
        <v/>
      </c>
      <c r="B971" s="8"/>
      <c r="C971" s="9"/>
      <c r="D971" s="10" t="str">
        <f t="shared" si="90"/>
        <v/>
      </c>
      <c r="E971" s="1"/>
      <c r="F971" s="11" t="str">
        <f t="shared" si="91"/>
        <v/>
      </c>
      <c r="G971" s="11" t="str">
        <f t="shared" si="92"/>
        <v/>
      </c>
      <c r="H971" s="11" t="str">
        <f t="shared" si="93"/>
        <v/>
      </c>
      <c r="I971" s="12" t="str">
        <f t="shared" si="94"/>
        <v/>
      </c>
      <c r="J971" s="13" t="str">
        <f t="shared" si="95"/>
        <v/>
      </c>
    </row>
    <row r="972" spans="1:10" ht="23.1" customHeight="1">
      <c r="A972" s="1" t="str">
        <f>IF(COUNTA(B972:C972)=0,"",964)</f>
        <v/>
      </c>
      <c r="B972" s="8"/>
      <c r="C972" s="9"/>
      <c r="D972" s="10" t="str">
        <f t="shared" si="90"/>
        <v/>
      </c>
      <c r="E972" s="1"/>
      <c r="F972" s="11" t="str">
        <f t="shared" si="91"/>
        <v/>
      </c>
      <c r="G972" s="11" t="str">
        <f t="shared" si="92"/>
        <v/>
      </c>
      <c r="H972" s="11" t="str">
        <f t="shared" si="93"/>
        <v/>
      </c>
      <c r="I972" s="12" t="str">
        <f t="shared" si="94"/>
        <v/>
      </c>
      <c r="J972" s="13" t="str">
        <f t="shared" si="95"/>
        <v/>
      </c>
    </row>
    <row r="973" spans="1:10" ht="23.1" customHeight="1">
      <c r="A973" s="1" t="str">
        <f>IF(COUNTA(B973:C973)=0,"",965)</f>
        <v/>
      </c>
      <c r="B973" s="8"/>
      <c r="C973" s="9"/>
      <c r="D973" s="10" t="str">
        <f t="shared" si="90"/>
        <v/>
      </c>
      <c r="E973" s="1"/>
      <c r="F973" s="11" t="str">
        <f t="shared" si="91"/>
        <v/>
      </c>
      <c r="G973" s="11" t="str">
        <f t="shared" si="92"/>
        <v/>
      </c>
      <c r="H973" s="11" t="str">
        <f t="shared" si="93"/>
        <v/>
      </c>
      <c r="I973" s="12" t="str">
        <f t="shared" si="94"/>
        <v/>
      </c>
      <c r="J973" s="13" t="str">
        <f t="shared" si="95"/>
        <v/>
      </c>
    </row>
    <row r="974" spans="1:10" ht="23.1" customHeight="1">
      <c r="A974" s="1" t="str">
        <f>IF(COUNTA(B974:C974)=0,"",966)</f>
        <v/>
      </c>
      <c r="B974" s="8"/>
      <c r="C974" s="9"/>
      <c r="D974" s="10" t="str">
        <f t="shared" si="90"/>
        <v/>
      </c>
      <c r="E974" s="1"/>
      <c r="F974" s="11" t="str">
        <f t="shared" si="91"/>
        <v/>
      </c>
      <c r="G974" s="11" t="str">
        <f t="shared" si="92"/>
        <v/>
      </c>
      <c r="H974" s="11" t="str">
        <f t="shared" si="93"/>
        <v/>
      </c>
      <c r="I974" s="12" t="str">
        <f t="shared" si="94"/>
        <v/>
      </c>
      <c r="J974" s="13" t="str">
        <f t="shared" si="95"/>
        <v/>
      </c>
    </row>
    <row r="975" spans="1:10" ht="23.1" customHeight="1">
      <c r="A975" s="1" t="str">
        <f>IF(COUNTA(B975:C975)=0,"",967)</f>
        <v/>
      </c>
      <c r="B975" s="8"/>
      <c r="C975" s="9"/>
      <c r="D975" s="10" t="str">
        <f t="shared" si="90"/>
        <v/>
      </c>
      <c r="E975" s="1"/>
      <c r="F975" s="11" t="str">
        <f t="shared" si="91"/>
        <v/>
      </c>
      <c r="G975" s="11" t="str">
        <f t="shared" si="92"/>
        <v/>
      </c>
      <c r="H975" s="11" t="str">
        <f t="shared" si="93"/>
        <v/>
      </c>
      <c r="I975" s="12" t="str">
        <f t="shared" si="94"/>
        <v/>
      </c>
      <c r="J975" s="13" t="str">
        <f t="shared" si="95"/>
        <v/>
      </c>
    </row>
    <row r="976" spans="1:10" ht="23.1" customHeight="1">
      <c r="A976" s="1" t="str">
        <f>IF(COUNTA(B976:C976)=0,"",968)</f>
        <v/>
      </c>
      <c r="B976" s="8"/>
      <c r="C976" s="9"/>
      <c r="D976" s="10" t="str">
        <f t="shared" si="90"/>
        <v/>
      </c>
      <c r="E976" s="1"/>
      <c r="F976" s="11" t="str">
        <f t="shared" si="91"/>
        <v/>
      </c>
      <c r="G976" s="11" t="str">
        <f t="shared" si="92"/>
        <v/>
      </c>
      <c r="H976" s="11" t="str">
        <f t="shared" si="93"/>
        <v/>
      </c>
      <c r="I976" s="12" t="str">
        <f t="shared" si="94"/>
        <v/>
      </c>
      <c r="J976" s="13" t="str">
        <f t="shared" si="95"/>
        <v/>
      </c>
    </row>
    <row r="977" spans="1:10" ht="23.1" customHeight="1">
      <c r="A977" s="1" t="str">
        <f>IF(COUNTA(B977:C977)=0,"",969)</f>
        <v/>
      </c>
      <c r="B977" s="8"/>
      <c r="C977" s="9"/>
      <c r="D977" s="10" t="str">
        <f t="shared" si="90"/>
        <v/>
      </c>
      <c r="E977" s="1"/>
      <c r="F977" s="11" t="str">
        <f t="shared" si="91"/>
        <v/>
      </c>
      <c r="G977" s="11" t="str">
        <f t="shared" si="92"/>
        <v/>
      </c>
      <c r="H977" s="11" t="str">
        <f t="shared" si="93"/>
        <v/>
      </c>
      <c r="I977" s="12" t="str">
        <f t="shared" si="94"/>
        <v/>
      </c>
      <c r="J977" s="13" t="str">
        <f t="shared" si="95"/>
        <v/>
      </c>
    </row>
    <row r="978" spans="1:10" ht="23.1" customHeight="1">
      <c r="A978" s="1" t="str">
        <f>IF(COUNTA(B978:C978)=0,"",970)</f>
        <v/>
      </c>
      <c r="B978" s="8"/>
      <c r="C978" s="9"/>
      <c r="D978" s="10" t="str">
        <f t="shared" si="90"/>
        <v/>
      </c>
      <c r="E978" s="1"/>
      <c r="F978" s="11" t="str">
        <f t="shared" si="91"/>
        <v/>
      </c>
      <c r="G978" s="11" t="str">
        <f t="shared" si="92"/>
        <v/>
      </c>
      <c r="H978" s="11" t="str">
        <f t="shared" si="93"/>
        <v/>
      </c>
      <c r="I978" s="12" t="str">
        <f t="shared" si="94"/>
        <v/>
      </c>
      <c r="J978" s="13" t="str">
        <f t="shared" si="95"/>
        <v/>
      </c>
    </row>
    <row r="979" spans="1:10" ht="23.1" customHeight="1">
      <c r="A979" s="1" t="str">
        <f>IF(COUNTA(B979:C979)=0,"",971)</f>
        <v/>
      </c>
      <c r="B979" s="8"/>
      <c r="C979" s="9"/>
      <c r="D979" s="10" t="str">
        <f t="shared" si="90"/>
        <v/>
      </c>
      <c r="E979" s="1"/>
      <c r="F979" s="11" t="str">
        <f t="shared" si="91"/>
        <v/>
      </c>
      <c r="G979" s="11" t="str">
        <f t="shared" si="92"/>
        <v/>
      </c>
      <c r="H979" s="11" t="str">
        <f t="shared" si="93"/>
        <v/>
      </c>
      <c r="I979" s="12" t="str">
        <f t="shared" si="94"/>
        <v/>
      </c>
      <c r="J979" s="13" t="str">
        <f t="shared" si="95"/>
        <v/>
      </c>
    </row>
    <row r="980" spans="1:10" ht="23.1" customHeight="1">
      <c r="A980" s="1" t="str">
        <f>IF(COUNTA(B980:C980)=0,"",972)</f>
        <v/>
      </c>
      <c r="B980" s="8"/>
      <c r="C980" s="9"/>
      <c r="D980" s="10" t="str">
        <f t="shared" si="90"/>
        <v/>
      </c>
      <c r="E980" s="1"/>
      <c r="F980" s="11" t="str">
        <f t="shared" si="91"/>
        <v/>
      </c>
      <c r="G980" s="11" t="str">
        <f t="shared" si="92"/>
        <v/>
      </c>
      <c r="H980" s="11" t="str">
        <f t="shared" si="93"/>
        <v/>
      </c>
      <c r="I980" s="12" t="str">
        <f t="shared" si="94"/>
        <v/>
      </c>
      <c r="J980" s="13" t="str">
        <f t="shared" si="95"/>
        <v/>
      </c>
    </row>
    <row r="981" spans="1:10" ht="23.1" customHeight="1">
      <c r="A981" s="1" t="str">
        <f>IF(COUNTA(B981:C981)=0,"",973)</f>
        <v/>
      </c>
      <c r="B981" s="8"/>
      <c r="C981" s="9"/>
      <c r="D981" s="10" t="str">
        <f t="shared" si="90"/>
        <v/>
      </c>
      <c r="E981" s="1"/>
      <c r="F981" s="11" t="str">
        <f t="shared" si="91"/>
        <v/>
      </c>
      <c r="G981" s="11" t="str">
        <f t="shared" si="92"/>
        <v/>
      </c>
      <c r="H981" s="11" t="str">
        <f t="shared" si="93"/>
        <v/>
      </c>
      <c r="I981" s="12" t="str">
        <f t="shared" si="94"/>
        <v/>
      </c>
      <c r="J981" s="13" t="str">
        <f t="shared" si="95"/>
        <v/>
      </c>
    </row>
    <row r="982" spans="1:10" ht="23.1" customHeight="1">
      <c r="A982" s="1" t="str">
        <f>IF(COUNTA(B982:C982)=0,"",974)</f>
        <v/>
      </c>
      <c r="B982" s="8"/>
      <c r="C982" s="9"/>
      <c r="D982" s="10" t="str">
        <f t="shared" si="90"/>
        <v/>
      </c>
      <c r="E982" s="1"/>
      <c r="F982" s="11" t="str">
        <f t="shared" si="91"/>
        <v/>
      </c>
      <c r="G982" s="11" t="str">
        <f t="shared" si="92"/>
        <v/>
      </c>
      <c r="H982" s="11" t="str">
        <f t="shared" si="93"/>
        <v/>
      </c>
      <c r="I982" s="12" t="str">
        <f t="shared" si="94"/>
        <v/>
      </c>
      <c r="J982" s="13" t="str">
        <f t="shared" si="95"/>
        <v/>
      </c>
    </row>
    <row r="983" spans="1:10" ht="23.1" customHeight="1">
      <c r="A983" s="1" t="str">
        <f>IF(COUNTA(B983:C983)=0,"",975)</f>
        <v/>
      </c>
      <c r="B983" s="8"/>
      <c r="C983" s="9"/>
      <c r="D983" s="10" t="str">
        <f t="shared" si="90"/>
        <v/>
      </c>
      <c r="E983" s="1"/>
      <c r="F983" s="11" t="str">
        <f t="shared" si="91"/>
        <v/>
      </c>
      <c r="G983" s="11" t="str">
        <f t="shared" si="92"/>
        <v/>
      </c>
      <c r="H983" s="11" t="str">
        <f t="shared" si="93"/>
        <v/>
      </c>
      <c r="I983" s="12" t="str">
        <f t="shared" si="94"/>
        <v/>
      </c>
      <c r="J983" s="13" t="str">
        <f t="shared" si="95"/>
        <v/>
      </c>
    </row>
    <row r="984" spans="1:10" ht="23.1" customHeight="1">
      <c r="A984" s="1" t="str">
        <f>IF(COUNTA(B984:C984)=0,"",976)</f>
        <v/>
      </c>
      <c r="B984" s="8"/>
      <c r="C984" s="9"/>
      <c r="D984" s="10" t="str">
        <f t="shared" si="90"/>
        <v/>
      </c>
      <c r="E984" s="1"/>
      <c r="F984" s="11" t="str">
        <f t="shared" si="91"/>
        <v/>
      </c>
      <c r="G984" s="11" t="str">
        <f t="shared" si="92"/>
        <v/>
      </c>
      <c r="H984" s="11" t="str">
        <f t="shared" si="93"/>
        <v/>
      </c>
      <c r="I984" s="12" t="str">
        <f t="shared" si="94"/>
        <v/>
      </c>
      <c r="J984" s="13" t="str">
        <f t="shared" si="95"/>
        <v/>
      </c>
    </row>
    <row r="985" spans="1:10" ht="23.1" customHeight="1">
      <c r="A985" s="1" t="str">
        <f>IF(COUNTA(B985:C985)=0,"",977)</f>
        <v/>
      </c>
      <c r="B985" s="8"/>
      <c r="C985" s="9"/>
      <c r="D985" s="10" t="str">
        <f t="shared" si="90"/>
        <v/>
      </c>
      <c r="E985" s="1"/>
      <c r="F985" s="11" t="str">
        <f t="shared" si="91"/>
        <v/>
      </c>
      <c r="G985" s="11" t="str">
        <f t="shared" si="92"/>
        <v/>
      </c>
      <c r="H985" s="11" t="str">
        <f t="shared" si="93"/>
        <v/>
      </c>
      <c r="I985" s="12" t="str">
        <f t="shared" si="94"/>
        <v/>
      </c>
      <c r="J985" s="13" t="str">
        <f t="shared" si="95"/>
        <v/>
      </c>
    </row>
    <row r="986" spans="1:10" ht="23.1" customHeight="1">
      <c r="A986" s="1" t="str">
        <f>IF(COUNTA(B986:C986)=0,"",978)</f>
        <v/>
      </c>
      <c r="B986" s="8"/>
      <c r="C986" s="9"/>
      <c r="D986" s="10" t="str">
        <f t="shared" si="90"/>
        <v/>
      </c>
      <c r="E986" s="1"/>
      <c r="F986" s="11" t="str">
        <f t="shared" si="91"/>
        <v/>
      </c>
      <c r="G986" s="11" t="str">
        <f t="shared" si="92"/>
        <v/>
      </c>
      <c r="H986" s="11" t="str">
        <f t="shared" si="93"/>
        <v/>
      </c>
      <c r="I986" s="12" t="str">
        <f t="shared" si="94"/>
        <v/>
      </c>
      <c r="J986" s="13" t="str">
        <f t="shared" si="95"/>
        <v/>
      </c>
    </row>
    <row r="987" spans="1:10" ht="23.1" customHeight="1">
      <c r="A987" s="1" t="str">
        <f>IF(COUNTA(B987:C987)=0,"",979)</f>
        <v/>
      </c>
      <c r="B987" s="8"/>
      <c r="C987" s="9"/>
      <c r="D987" s="10" t="str">
        <f t="shared" si="90"/>
        <v/>
      </c>
      <c r="E987" s="1"/>
      <c r="F987" s="11" t="str">
        <f t="shared" si="91"/>
        <v/>
      </c>
      <c r="G987" s="11" t="str">
        <f t="shared" si="92"/>
        <v/>
      </c>
      <c r="H987" s="11" t="str">
        <f t="shared" si="93"/>
        <v/>
      </c>
      <c r="I987" s="12" t="str">
        <f t="shared" si="94"/>
        <v/>
      </c>
      <c r="J987" s="13" t="str">
        <f t="shared" si="95"/>
        <v/>
      </c>
    </row>
    <row r="988" spans="1:10" ht="23.1" customHeight="1">
      <c r="A988" s="1" t="str">
        <f>IF(COUNTA(B988:C988)=0,"",980)</f>
        <v/>
      </c>
      <c r="B988" s="8"/>
      <c r="C988" s="9"/>
      <c r="D988" s="10" t="str">
        <f t="shared" si="90"/>
        <v/>
      </c>
      <c r="E988" s="1"/>
      <c r="F988" s="11" t="str">
        <f t="shared" si="91"/>
        <v/>
      </c>
      <c r="G988" s="11" t="str">
        <f t="shared" si="92"/>
        <v/>
      </c>
      <c r="H988" s="11" t="str">
        <f t="shared" si="93"/>
        <v/>
      </c>
      <c r="I988" s="12" t="str">
        <f t="shared" si="94"/>
        <v/>
      </c>
      <c r="J988" s="13" t="str">
        <f t="shared" si="95"/>
        <v/>
      </c>
    </row>
    <row r="989" spans="1:10" ht="23.1" customHeight="1">
      <c r="A989" s="1" t="str">
        <f>IF(COUNTA(B989:C989)=0,"",981)</f>
        <v/>
      </c>
      <c r="B989" s="8"/>
      <c r="C989" s="9"/>
      <c r="D989" s="10" t="str">
        <f t="shared" si="90"/>
        <v/>
      </c>
      <c r="E989" s="1"/>
      <c r="F989" s="11" t="str">
        <f t="shared" si="91"/>
        <v/>
      </c>
      <c r="G989" s="11" t="str">
        <f t="shared" si="92"/>
        <v/>
      </c>
      <c r="H989" s="11" t="str">
        <f t="shared" si="93"/>
        <v/>
      </c>
      <c r="I989" s="12" t="str">
        <f t="shared" si="94"/>
        <v/>
      </c>
      <c r="J989" s="13" t="str">
        <f t="shared" si="95"/>
        <v/>
      </c>
    </row>
    <row r="990" spans="1:10" ht="23.1" customHeight="1">
      <c r="A990" s="1" t="str">
        <f>IF(COUNTA(B990:C990)=0,"",982)</f>
        <v/>
      </c>
      <c r="B990" s="8"/>
      <c r="C990" s="9"/>
      <c r="D990" s="10" t="str">
        <f t="shared" si="90"/>
        <v/>
      </c>
      <c r="E990" s="1"/>
      <c r="F990" s="11" t="str">
        <f t="shared" si="91"/>
        <v/>
      </c>
      <c r="G990" s="11" t="str">
        <f t="shared" si="92"/>
        <v/>
      </c>
      <c r="H990" s="11" t="str">
        <f t="shared" si="93"/>
        <v/>
      </c>
      <c r="I990" s="12" t="str">
        <f t="shared" si="94"/>
        <v/>
      </c>
      <c r="J990" s="13" t="str">
        <f t="shared" si="95"/>
        <v/>
      </c>
    </row>
    <row r="991" spans="1:10" ht="23.1" customHeight="1">
      <c r="A991" s="1" t="str">
        <f>IF(COUNTA(B991:C991)=0,"",983)</f>
        <v/>
      </c>
      <c r="B991" s="8"/>
      <c r="C991" s="9"/>
      <c r="D991" s="10" t="str">
        <f t="shared" si="90"/>
        <v/>
      </c>
      <c r="E991" s="1"/>
      <c r="F991" s="11" t="str">
        <f t="shared" si="91"/>
        <v/>
      </c>
      <c r="G991" s="11" t="str">
        <f t="shared" si="92"/>
        <v/>
      </c>
      <c r="H991" s="11" t="str">
        <f t="shared" si="93"/>
        <v/>
      </c>
      <c r="I991" s="12" t="str">
        <f t="shared" si="94"/>
        <v/>
      </c>
      <c r="J991" s="13" t="str">
        <f t="shared" si="95"/>
        <v/>
      </c>
    </row>
    <row r="992" spans="1:10" ht="23.1" customHeight="1">
      <c r="A992" s="1" t="str">
        <f>IF(COUNTA(B992:C992)=0,"",984)</f>
        <v/>
      </c>
      <c r="B992" s="8"/>
      <c r="C992" s="9"/>
      <c r="D992" s="10" t="str">
        <f t="shared" si="90"/>
        <v/>
      </c>
      <c r="E992" s="1"/>
      <c r="F992" s="11" t="str">
        <f t="shared" si="91"/>
        <v/>
      </c>
      <c r="G992" s="11" t="str">
        <f t="shared" si="92"/>
        <v/>
      </c>
      <c r="H992" s="11" t="str">
        <f t="shared" si="93"/>
        <v/>
      </c>
      <c r="I992" s="12" t="str">
        <f t="shared" si="94"/>
        <v/>
      </c>
      <c r="J992" s="13" t="str">
        <f t="shared" si="95"/>
        <v/>
      </c>
    </row>
    <row r="993" spans="1:10" ht="23.1" customHeight="1">
      <c r="A993" s="1" t="str">
        <f>IF(COUNTA(B993:C993)=0,"",985)</f>
        <v/>
      </c>
      <c r="B993" s="8"/>
      <c r="C993" s="9"/>
      <c r="D993" s="10" t="str">
        <f t="shared" si="90"/>
        <v/>
      </c>
      <c r="E993" s="1"/>
      <c r="F993" s="11" t="str">
        <f t="shared" si="91"/>
        <v/>
      </c>
      <c r="G993" s="11" t="str">
        <f t="shared" si="92"/>
        <v/>
      </c>
      <c r="H993" s="11" t="str">
        <f t="shared" si="93"/>
        <v/>
      </c>
      <c r="I993" s="12" t="str">
        <f t="shared" si="94"/>
        <v/>
      </c>
      <c r="J993" s="13" t="str">
        <f t="shared" si="95"/>
        <v/>
      </c>
    </row>
    <row r="994" spans="1:10" ht="23.1" customHeight="1">
      <c r="A994" s="1" t="str">
        <f>IF(COUNTA(B994:C994)=0,"",986)</f>
        <v/>
      </c>
      <c r="B994" s="8"/>
      <c r="C994" s="9"/>
      <c r="D994" s="10" t="str">
        <f t="shared" si="90"/>
        <v/>
      </c>
      <c r="E994" s="1"/>
      <c r="F994" s="11" t="str">
        <f t="shared" si="91"/>
        <v/>
      </c>
      <c r="G994" s="11" t="str">
        <f t="shared" si="92"/>
        <v/>
      </c>
      <c r="H994" s="11" t="str">
        <f t="shared" si="93"/>
        <v/>
      </c>
      <c r="I994" s="12" t="str">
        <f t="shared" si="94"/>
        <v/>
      </c>
      <c r="J994" s="13" t="str">
        <f t="shared" si="95"/>
        <v/>
      </c>
    </row>
    <row r="995" spans="1:10" ht="23.1" customHeight="1">
      <c r="A995" s="1" t="str">
        <f>IF(COUNTA(B995:C995)=0,"",987)</f>
        <v/>
      </c>
      <c r="B995" s="8"/>
      <c r="C995" s="9"/>
      <c r="D995" s="10" t="str">
        <f t="shared" si="90"/>
        <v/>
      </c>
      <c r="E995" s="1"/>
      <c r="F995" s="11" t="str">
        <f t="shared" si="91"/>
        <v/>
      </c>
      <c r="G995" s="11" t="str">
        <f t="shared" si="92"/>
        <v/>
      </c>
      <c r="H995" s="11" t="str">
        <f t="shared" si="93"/>
        <v/>
      </c>
      <c r="I995" s="12" t="str">
        <f t="shared" si="94"/>
        <v/>
      </c>
      <c r="J995" s="13" t="str">
        <f t="shared" si="95"/>
        <v/>
      </c>
    </row>
    <row r="996" spans="1:10" ht="23.1" customHeight="1">
      <c r="A996" s="1" t="str">
        <f>IF(COUNTA(B996:C996)=0,"",988)</f>
        <v/>
      </c>
      <c r="B996" s="8"/>
      <c r="C996" s="9"/>
      <c r="D996" s="10" t="str">
        <f t="shared" si="90"/>
        <v/>
      </c>
      <c r="E996" s="1"/>
      <c r="F996" s="11" t="str">
        <f t="shared" si="91"/>
        <v/>
      </c>
      <c r="G996" s="11" t="str">
        <f t="shared" si="92"/>
        <v/>
      </c>
      <c r="H996" s="11" t="str">
        <f t="shared" si="93"/>
        <v/>
      </c>
      <c r="I996" s="12" t="str">
        <f t="shared" si="94"/>
        <v/>
      </c>
      <c r="J996" s="13" t="str">
        <f t="shared" si="95"/>
        <v/>
      </c>
    </row>
    <row r="997" spans="1:10" ht="23.1" customHeight="1">
      <c r="A997" s="1" t="str">
        <f>IF(COUNTA(B997:C997)=0,"",989)</f>
        <v/>
      </c>
      <c r="B997" s="8"/>
      <c r="C997" s="9"/>
      <c r="D997" s="10" t="str">
        <f t="shared" si="90"/>
        <v/>
      </c>
      <c r="E997" s="1"/>
      <c r="F997" s="11" t="str">
        <f t="shared" si="91"/>
        <v/>
      </c>
      <c r="G997" s="11" t="str">
        <f t="shared" si="92"/>
        <v/>
      </c>
      <c r="H997" s="11" t="str">
        <f t="shared" si="93"/>
        <v/>
      </c>
      <c r="I997" s="12" t="str">
        <f t="shared" si="94"/>
        <v/>
      </c>
      <c r="J997" s="13" t="str">
        <f t="shared" si="95"/>
        <v/>
      </c>
    </row>
    <row r="998" spans="1:10" ht="23.1" customHeight="1">
      <c r="A998" s="1" t="str">
        <f>IF(COUNTA(B998:C998)=0,"",990)</f>
        <v/>
      </c>
      <c r="B998" s="8"/>
      <c r="C998" s="9"/>
      <c r="D998" s="10" t="str">
        <f t="shared" si="90"/>
        <v/>
      </c>
      <c r="E998" s="1"/>
      <c r="F998" s="11" t="str">
        <f t="shared" si="91"/>
        <v/>
      </c>
      <c r="G998" s="11" t="str">
        <f t="shared" si="92"/>
        <v/>
      </c>
      <c r="H998" s="11" t="str">
        <f t="shared" si="93"/>
        <v/>
      </c>
      <c r="I998" s="12" t="str">
        <f t="shared" si="94"/>
        <v/>
      </c>
      <c r="J998" s="13" t="str">
        <f t="shared" si="95"/>
        <v/>
      </c>
    </row>
    <row r="999" spans="1:10" ht="23.1" customHeight="1">
      <c r="A999" s="1" t="str">
        <f>IF(COUNTA(B999:C999)=0,"",991)</f>
        <v/>
      </c>
      <c r="B999" s="8"/>
      <c r="C999" s="9"/>
      <c r="D999" s="10" t="str">
        <f t="shared" si="90"/>
        <v/>
      </c>
      <c r="E999" s="1"/>
      <c r="F999" s="11" t="str">
        <f t="shared" si="91"/>
        <v/>
      </c>
      <c r="G999" s="11" t="str">
        <f t="shared" si="92"/>
        <v/>
      </c>
      <c r="H999" s="11" t="str">
        <f t="shared" si="93"/>
        <v/>
      </c>
      <c r="I999" s="12" t="str">
        <f t="shared" si="94"/>
        <v/>
      </c>
      <c r="J999" s="13" t="str">
        <f t="shared" si="95"/>
        <v/>
      </c>
    </row>
    <row r="1000" spans="1:10" ht="23.1" customHeight="1">
      <c r="A1000" s="1" t="str">
        <f>IF(COUNTA(B1000:C1000)=0,"",992)</f>
        <v/>
      </c>
      <c r="B1000" s="8"/>
      <c r="C1000" s="9"/>
      <c r="D1000" s="10" t="str">
        <f t="shared" si="90"/>
        <v/>
      </c>
      <c r="E1000" s="1"/>
      <c r="F1000" s="11" t="str">
        <f t="shared" si="91"/>
        <v/>
      </c>
      <c r="G1000" s="11" t="str">
        <f t="shared" si="92"/>
        <v/>
      </c>
      <c r="H1000" s="11" t="str">
        <f t="shared" si="93"/>
        <v/>
      </c>
      <c r="I1000" s="12" t="str">
        <f t="shared" si="94"/>
        <v/>
      </c>
      <c r="J1000" s="13" t="str">
        <f t="shared" si="95"/>
        <v/>
      </c>
    </row>
    <row r="1001" spans="1:10" ht="23.1" customHeight="1">
      <c r="A1001" s="1" t="str">
        <f>IF(COUNTA(B1001:C1001)=0,"",993)</f>
        <v/>
      </c>
      <c r="B1001" s="8"/>
      <c r="C1001" s="9"/>
      <c r="D1001" s="10" t="str">
        <f t="shared" si="90"/>
        <v/>
      </c>
      <c r="E1001" s="1"/>
      <c r="F1001" s="11" t="str">
        <f t="shared" si="91"/>
        <v/>
      </c>
      <c r="G1001" s="11" t="str">
        <f t="shared" si="92"/>
        <v/>
      </c>
      <c r="H1001" s="11" t="str">
        <f t="shared" si="93"/>
        <v/>
      </c>
      <c r="I1001" s="12" t="str">
        <f t="shared" si="94"/>
        <v/>
      </c>
      <c r="J1001" s="13" t="str">
        <f t="shared" si="95"/>
        <v/>
      </c>
    </row>
    <row r="1002" spans="1:10" ht="23.1" customHeight="1">
      <c r="A1002" s="1" t="str">
        <f>IF(COUNTA(B1002:C1002)=0,"",994)</f>
        <v/>
      </c>
      <c r="B1002" s="8"/>
      <c r="C1002" s="9"/>
      <c r="D1002" s="10" t="str">
        <f t="shared" si="90"/>
        <v/>
      </c>
      <c r="E1002" s="1"/>
      <c r="F1002" s="11" t="str">
        <f t="shared" si="91"/>
        <v/>
      </c>
      <c r="G1002" s="11" t="str">
        <f t="shared" si="92"/>
        <v/>
      </c>
      <c r="H1002" s="11" t="str">
        <f t="shared" si="93"/>
        <v/>
      </c>
      <c r="I1002" s="12" t="str">
        <f t="shared" si="94"/>
        <v/>
      </c>
      <c r="J1002" s="13" t="str">
        <f t="shared" si="95"/>
        <v/>
      </c>
    </row>
    <row r="1003" spans="1:10" ht="23.1" customHeight="1">
      <c r="A1003" s="1" t="str">
        <f>IF(COUNTA(B1003:C1003)=0,"",995)</f>
        <v/>
      </c>
      <c r="B1003" s="8"/>
      <c r="C1003" s="9"/>
      <c r="D1003" s="10" t="str">
        <f t="shared" si="90"/>
        <v/>
      </c>
      <c r="E1003" s="1"/>
      <c r="F1003" s="11" t="str">
        <f t="shared" si="91"/>
        <v/>
      </c>
      <c r="G1003" s="11" t="str">
        <f t="shared" si="92"/>
        <v/>
      </c>
      <c r="H1003" s="11" t="str">
        <f t="shared" si="93"/>
        <v/>
      </c>
      <c r="I1003" s="12" t="str">
        <f t="shared" si="94"/>
        <v/>
      </c>
      <c r="J1003" s="13" t="str">
        <f t="shared" si="95"/>
        <v/>
      </c>
    </row>
    <row r="1004" spans="1:10" ht="23.1" customHeight="1">
      <c r="A1004" s="1" t="str">
        <f>IF(COUNTA(B1004:C1004)=0,"",996)</f>
        <v/>
      </c>
      <c r="B1004" s="8"/>
      <c r="C1004" s="9"/>
      <c r="D1004" s="10" t="str">
        <f t="shared" si="90"/>
        <v/>
      </c>
      <c r="E1004" s="1"/>
      <c r="F1004" s="11" t="str">
        <f t="shared" si="91"/>
        <v/>
      </c>
      <c r="G1004" s="11" t="str">
        <f t="shared" si="92"/>
        <v/>
      </c>
      <c r="H1004" s="11" t="str">
        <f t="shared" si="93"/>
        <v/>
      </c>
      <c r="I1004" s="12" t="str">
        <f t="shared" si="94"/>
        <v/>
      </c>
      <c r="J1004" s="13" t="str">
        <f t="shared" si="95"/>
        <v/>
      </c>
    </row>
    <row r="1005" spans="1:10" ht="23.1" customHeight="1">
      <c r="A1005" s="1" t="str">
        <f>IF(COUNTA(B1005:C1005)=0,"",997)</f>
        <v/>
      </c>
      <c r="B1005" s="8"/>
      <c r="C1005" s="9"/>
      <c r="D1005" s="10" t="str">
        <f t="shared" si="90"/>
        <v/>
      </c>
      <c r="E1005" s="1"/>
      <c r="F1005" s="11" t="str">
        <f t="shared" si="91"/>
        <v/>
      </c>
      <c r="G1005" s="11" t="str">
        <f t="shared" si="92"/>
        <v/>
      </c>
      <c r="H1005" s="11" t="str">
        <f t="shared" si="93"/>
        <v/>
      </c>
      <c r="I1005" s="12" t="str">
        <f t="shared" si="94"/>
        <v/>
      </c>
      <c r="J1005" s="13" t="str">
        <f t="shared" si="95"/>
        <v/>
      </c>
    </row>
    <row r="1006" spans="1:10" ht="23.1" customHeight="1">
      <c r="A1006" s="1" t="str">
        <f>IF(COUNTA(B1006:C1006)=0,"",998)</f>
        <v/>
      </c>
      <c r="B1006" s="8"/>
      <c r="C1006" s="9"/>
      <c r="D1006" s="10" t="str">
        <f t="shared" si="90"/>
        <v/>
      </c>
      <c r="E1006" s="1"/>
      <c r="F1006" s="11" t="str">
        <f t="shared" si="91"/>
        <v/>
      </c>
      <c r="G1006" s="11" t="str">
        <f t="shared" si="92"/>
        <v/>
      </c>
      <c r="H1006" s="11" t="str">
        <f t="shared" si="93"/>
        <v/>
      </c>
      <c r="I1006" s="12" t="str">
        <f t="shared" si="94"/>
        <v/>
      </c>
      <c r="J1006" s="13" t="str">
        <f t="shared" si="95"/>
        <v/>
      </c>
    </row>
    <row r="1007" spans="1:10" ht="23.1" customHeight="1">
      <c r="A1007" s="1" t="str">
        <f>IF(COUNTA(B1007:C1007)=0,"",999)</f>
        <v/>
      </c>
      <c r="B1007" s="8"/>
      <c r="C1007" s="9"/>
      <c r="D1007" s="10" t="str">
        <f t="shared" si="90"/>
        <v/>
      </c>
      <c r="E1007" s="1"/>
      <c r="F1007" s="11" t="str">
        <f t="shared" si="91"/>
        <v/>
      </c>
      <c r="G1007" s="11" t="str">
        <f t="shared" si="92"/>
        <v/>
      </c>
      <c r="H1007" s="11" t="str">
        <f t="shared" si="93"/>
        <v/>
      </c>
      <c r="I1007" s="12" t="str">
        <f t="shared" si="94"/>
        <v/>
      </c>
      <c r="J1007" s="13" t="str">
        <f t="shared" si="95"/>
        <v/>
      </c>
    </row>
    <row r="1008" spans="1:10" ht="23.1" customHeight="1">
      <c r="A1008" s="1" t="str">
        <f>IF(COUNTA(B1008:C1008)=0,"",1000)</f>
        <v/>
      </c>
      <c r="B1008" s="8"/>
      <c r="C1008" s="9"/>
      <c r="D1008" s="10" t="str">
        <f t="shared" si="90"/>
        <v/>
      </c>
      <c r="E1008" s="1"/>
      <c r="F1008" s="11" t="str">
        <f t="shared" si="91"/>
        <v/>
      </c>
      <c r="G1008" s="11" t="str">
        <f t="shared" si="92"/>
        <v/>
      </c>
      <c r="H1008" s="11" t="str">
        <f t="shared" si="93"/>
        <v/>
      </c>
      <c r="I1008" s="12" t="str">
        <f t="shared" si="94"/>
        <v/>
      </c>
      <c r="J1008" s="13" t="str">
        <f t="shared" si="95"/>
        <v/>
      </c>
    </row>
  </sheetData>
  <sheetProtection password="D3E1" sheet="1" objects="1" scenarios="1" selectLockedCells="1"/>
  <mergeCells count="4">
    <mergeCell ref="A2:J2"/>
    <mergeCell ref="A4:B4"/>
    <mergeCell ref="A6:J6"/>
    <mergeCell ref="F7:H7"/>
  </mergeCells>
  <conditionalFormatting sqref="J9:J1008">
    <cfRule type="expression" dxfId="1" priority="1">
      <formula>AND($J9&lt;&gt;"",$J9&lt;&gt;"Completo")</formula>
    </cfRule>
  </conditionalFormatting>
  <dataValidations count="1">
    <dataValidation type="decimal" operator="greaterThanOrEqual" sqref="C9:C100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93C59"/>
  </sheetPr>
  <dimension ref="A1:J1008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7.875" customWidth="1"/>
    <col min="2" max="2" width="17" customWidth="1"/>
    <col min="3" max="3" width="23" customWidth="1"/>
    <col min="4" max="4" width="27" customWidth="1"/>
    <col min="5" max="5" width="3" customWidth="1"/>
    <col min="6" max="6" width="25" customWidth="1"/>
    <col min="7" max="7" width="29" customWidth="1"/>
    <col min="8" max="9" width="25" customWidth="1"/>
    <col min="10" max="10" width="24" customWidth="1"/>
  </cols>
  <sheetData>
    <row r="1" spans="1:10" ht="23.1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.1" customHeight="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3.1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3.1" customHeight="1">
      <c r="A4" s="20" t="s">
        <v>1</v>
      </c>
      <c r="B4" s="20"/>
      <c r="C4" s="14">
        <f>IF(Lançamentos!C4="","",Lançamentos!C4)</f>
        <v>46310</v>
      </c>
      <c r="D4" s="1"/>
      <c r="E4" s="1"/>
      <c r="F4" s="1"/>
      <c r="G4" s="1"/>
      <c r="H4" s="1"/>
      <c r="I4" s="1"/>
      <c r="J4" s="1"/>
    </row>
    <row r="5" spans="1:10" ht="30" customHeight="1">
      <c r="A5" s="1"/>
      <c r="B5" s="15" t="s">
        <v>14</v>
      </c>
      <c r="C5" s="16">
        <f>SUM(Lançamentos!C9:C1008)</f>
        <v>3439.52</v>
      </c>
      <c r="D5" s="16">
        <f>SUM(Lançamentos!D9:D1008)</f>
        <v>1031.8599999999999</v>
      </c>
      <c r="E5" s="17"/>
      <c r="F5" s="18">
        <f>SUM(Lançamentos!F9:F1008)</f>
        <v>722.3</v>
      </c>
      <c r="G5" s="18">
        <f>SUM(Lançamentos!G9:G1008)</f>
        <v>1685.36</v>
      </c>
      <c r="H5" s="18">
        <f>SUM(Lançamentos!H9:H1008)</f>
        <v>2407.66</v>
      </c>
      <c r="I5" s="17"/>
      <c r="J5" s="17"/>
    </row>
    <row r="6" spans="1:10" ht="23.1" customHeight="1">
      <c r="A6" s="20" t="s">
        <v>15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ht="23.1" customHeight="1">
      <c r="A7" s="1"/>
      <c r="B7" s="1"/>
      <c r="C7" s="1"/>
      <c r="D7" s="3" t="s">
        <v>3</v>
      </c>
      <c r="E7" s="1"/>
      <c r="F7" s="21" t="s">
        <v>4</v>
      </c>
      <c r="G7" s="21"/>
      <c r="H7" s="21"/>
      <c r="I7" s="1"/>
      <c r="J7" s="1"/>
    </row>
    <row r="8" spans="1:10" ht="54" customHeight="1">
      <c r="A8" s="4" t="s">
        <v>5</v>
      </c>
      <c r="B8" s="4" t="s">
        <v>6</v>
      </c>
      <c r="C8" s="4" t="s">
        <v>16</v>
      </c>
      <c r="D8" s="5" t="s">
        <v>17</v>
      </c>
      <c r="E8" s="6"/>
      <c r="F8" s="7" t="s">
        <v>18</v>
      </c>
      <c r="G8" s="7" t="s">
        <v>19</v>
      </c>
      <c r="H8" s="7" t="s">
        <v>20</v>
      </c>
      <c r="I8" s="4" t="s">
        <v>21</v>
      </c>
      <c r="J8" s="4" t="s">
        <v>13</v>
      </c>
    </row>
    <row r="9" spans="1:10" ht="23.1" customHeight="1">
      <c r="A9" s="1">
        <f>IF(ISNUMBER(Lançamentos!A9),Lançamentos!A9,"")</f>
        <v>1</v>
      </c>
      <c r="B9" s="1" t="str">
        <f>IF(Lançamentos!B9="","",Lançamentos!B9)</f>
        <v>01</v>
      </c>
      <c r="C9" s="12">
        <f>IF(ISNUMBER(Lançamentos!C9),Lançamentos!C9,"")</f>
        <v>3439.52</v>
      </c>
      <c r="D9" s="10">
        <f>IF(A9="","",SUM(Lançamentos!D$9:D9))</f>
        <v>1031.8599999999999</v>
      </c>
      <c r="E9" s="1"/>
      <c r="F9" s="11">
        <f>IF(A9="","",SUM(Lançamentos!F$9:F9))</f>
        <v>722.3</v>
      </c>
      <c r="G9" s="11">
        <f>IF(A9="","",SUM(Lançamentos!G$9:G9))</f>
        <v>1685.36</v>
      </c>
      <c r="H9" s="11">
        <f>IF(A9="","",SUM(Lançamentos!H$9:H9))</f>
        <v>2407.66</v>
      </c>
      <c r="I9" s="12">
        <f>IF(A9="","",SUM(Lançamentos!C$9:C9))</f>
        <v>3439.52</v>
      </c>
      <c r="J9" s="13" t="str">
        <f>IF(Lançamentos!J9="","",Lançamentos!J9)</f>
        <v>Completo</v>
      </c>
    </row>
    <row r="10" spans="1:10" ht="23.1" customHeight="1">
      <c r="A10" s="1" t="str">
        <f>IF(ISNUMBER(Lançamentos!A10),Lançamentos!A10,"")</f>
        <v/>
      </c>
      <c r="B10" s="1" t="str">
        <f>IF(Lançamentos!B10="","",Lançamentos!B10)</f>
        <v/>
      </c>
      <c r="C10" s="12" t="str">
        <f>IF(ISNUMBER(Lançamentos!C10),Lançamentos!C10,"")</f>
        <v/>
      </c>
      <c r="D10" s="10" t="str">
        <f>IF(A10="","",SUM(Lançamentos!D$9:D10))</f>
        <v/>
      </c>
      <c r="E10" s="1"/>
      <c r="F10" s="11" t="str">
        <f>IF(A10="","",SUM(Lançamentos!F$9:F10))</f>
        <v/>
      </c>
      <c r="G10" s="11" t="str">
        <f>IF(A10="","",SUM(Lançamentos!G$9:G10))</f>
        <v/>
      </c>
      <c r="H10" s="11" t="str">
        <f>IF(A10="","",SUM(Lançamentos!H$9:H10))</f>
        <v/>
      </c>
      <c r="I10" s="12" t="str">
        <f>IF(A10="","",SUM(Lançamentos!C$9:C10))</f>
        <v/>
      </c>
      <c r="J10" s="13" t="str">
        <f>IF(Lançamentos!J10="","",Lançamentos!J10)</f>
        <v/>
      </c>
    </row>
    <row r="11" spans="1:10" ht="23.1" customHeight="1">
      <c r="A11" s="1" t="str">
        <f>IF(ISNUMBER(Lançamentos!A11),Lançamentos!A11,"")</f>
        <v/>
      </c>
      <c r="B11" s="1" t="str">
        <f>IF(Lançamentos!B11="","",Lançamentos!B11)</f>
        <v/>
      </c>
      <c r="C11" s="12" t="str">
        <f>IF(ISNUMBER(Lançamentos!C11),Lançamentos!C11,"")</f>
        <v/>
      </c>
      <c r="D11" s="10" t="str">
        <f>IF(A11="","",SUM(Lançamentos!D$9:D11))</f>
        <v/>
      </c>
      <c r="E11" s="1"/>
      <c r="F11" s="11" t="str">
        <f>IF(A11="","",SUM(Lançamentos!F$9:F11))</f>
        <v/>
      </c>
      <c r="G11" s="11" t="str">
        <f>IF(A11="","",SUM(Lançamentos!G$9:G11))</f>
        <v/>
      </c>
      <c r="H11" s="11" t="str">
        <f>IF(A11="","",SUM(Lançamentos!H$9:H11))</f>
        <v/>
      </c>
      <c r="I11" s="12" t="str">
        <f>IF(A11="","",SUM(Lançamentos!C$9:C11))</f>
        <v/>
      </c>
      <c r="J11" s="13" t="str">
        <f>IF(Lançamentos!J11="","",Lançamentos!J11)</f>
        <v/>
      </c>
    </row>
    <row r="12" spans="1:10" ht="23.1" customHeight="1">
      <c r="A12" s="1" t="str">
        <f>IF(ISNUMBER(Lançamentos!A12),Lançamentos!A12,"")</f>
        <v/>
      </c>
      <c r="B12" s="1" t="str">
        <f>IF(Lançamentos!B12="","",Lançamentos!B12)</f>
        <v/>
      </c>
      <c r="C12" s="12" t="str">
        <f>IF(ISNUMBER(Lançamentos!C12),Lançamentos!C12,"")</f>
        <v/>
      </c>
      <c r="D12" s="10" t="str">
        <f>IF(A12="","",SUM(Lançamentos!D$9:D12))</f>
        <v/>
      </c>
      <c r="E12" s="1"/>
      <c r="F12" s="11" t="str">
        <f>IF(A12="","",SUM(Lançamentos!F$9:F12))</f>
        <v/>
      </c>
      <c r="G12" s="11" t="str">
        <f>IF(A12="","",SUM(Lançamentos!G$9:G12))</f>
        <v/>
      </c>
      <c r="H12" s="11" t="str">
        <f>IF(A12="","",SUM(Lançamentos!H$9:H12))</f>
        <v/>
      </c>
      <c r="I12" s="12" t="str">
        <f>IF(A12="","",SUM(Lançamentos!C$9:C12))</f>
        <v/>
      </c>
      <c r="J12" s="13" t="str">
        <f>IF(Lançamentos!J12="","",Lançamentos!J12)</f>
        <v/>
      </c>
    </row>
    <row r="13" spans="1:10" ht="23.1" customHeight="1">
      <c r="A13" s="1" t="str">
        <f>IF(ISNUMBER(Lançamentos!A13),Lançamentos!A13,"")</f>
        <v/>
      </c>
      <c r="B13" s="1" t="str">
        <f>IF(Lançamentos!B13="","",Lançamentos!B13)</f>
        <v/>
      </c>
      <c r="C13" s="12" t="str">
        <f>IF(ISNUMBER(Lançamentos!C13),Lançamentos!C13,"")</f>
        <v/>
      </c>
      <c r="D13" s="10" t="str">
        <f>IF(A13="","",SUM(Lançamentos!D$9:D13))</f>
        <v/>
      </c>
      <c r="E13" s="1"/>
      <c r="F13" s="11" t="str">
        <f>IF(A13="","",SUM(Lançamentos!F$9:F13))</f>
        <v/>
      </c>
      <c r="G13" s="11" t="str">
        <f>IF(A13="","",SUM(Lançamentos!G$9:G13))</f>
        <v/>
      </c>
      <c r="H13" s="11" t="str">
        <f>IF(A13="","",SUM(Lançamentos!H$9:H13))</f>
        <v/>
      </c>
      <c r="I13" s="12" t="str">
        <f>IF(A13="","",SUM(Lançamentos!C$9:C13))</f>
        <v/>
      </c>
      <c r="J13" s="13" t="str">
        <f>IF(Lançamentos!J13="","",Lançamentos!J13)</f>
        <v/>
      </c>
    </row>
    <row r="14" spans="1:10" ht="23.1" customHeight="1">
      <c r="A14" s="1" t="str">
        <f>IF(ISNUMBER(Lançamentos!A14),Lançamentos!A14,"")</f>
        <v/>
      </c>
      <c r="B14" s="1" t="str">
        <f>IF(Lançamentos!B14="","",Lançamentos!B14)</f>
        <v/>
      </c>
      <c r="C14" s="12" t="str">
        <f>IF(ISNUMBER(Lançamentos!C14),Lançamentos!C14,"")</f>
        <v/>
      </c>
      <c r="D14" s="10" t="str">
        <f>IF(A14="","",SUM(Lançamentos!D$9:D14))</f>
        <v/>
      </c>
      <c r="E14" s="1"/>
      <c r="F14" s="11" t="str">
        <f>IF(A14="","",SUM(Lançamentos!F$9:F14))</f>
        <v/>
      </c>
      <c r="G14" s="11" t="str">
        <f>IF(A14="","",SUM(Lançamentos!G$9:G14))</f>
        <v/>
      </c>
      <c r="H14" s="11" t="str">
        <f>IF(A14="","",SUM(Lançamentos!H$9:H14))</f>
        <v/>
      </c>
      <c r="I14" s="12" t="str">
        <f>IF(A14="","",SUM(Lançamentos!C$9:C14))</f>
        <v/>
      </c>
      <c r="J14" s="13" t="str">
        <f>IF(Lançamentos!J14="","",Lançamentos!J14)</f>
        <v/>
      </c>
    </row>
    <row r="15" spans="1:10" ht="23.1" customHeight="1">
      <c r="A15" s="1" t="str">
        <f>IF(ISNUMBER(Lançamentos!A15),Lançamentos!A15,"")</f>
        <v/>
      </c>
      <c r="B15" s="1" t="str">
        <f>IF(Lançamentos!B15="","",Lançamentos!B15)</f>
        <v/>
      </c>
      <c r="C15" s="12" t="str">
        <f>IF(ISNUMBER(Lançamentos!C15),Lançamentos!C15,"")</f>
        <v/>
      </c>
      <c r="D15" s="10" t="str">
        <f>IF(A15="","",SUM(Lançamentos!D$9:D15))</f>
        <v/>
      </c>
      <c r="E15" s="1"/>
      <c r="F15" s="11" t="str">
        <f>IF(A15="","",SUM(Lançamentos!F$9:F15))</f>
        <v/>
      </c>
      <c r="G15" s="11" t="str">
        <f>IF(A15="","",SUM(Lançamentos!G$9:G15))</f>
        <v/>
      </c>
      <c r="H15" s="11" t="str">
        <f>IF(A15="","",SUM(Lançamentos!H$9:H15))</f>
        <v/>
      </c>
      <c r="I15" s="12" t="str">
        <f>IF(A15="","",SUM(Lançamentos!C$9:C15))</f>
        <v/>
      </c>
      <c r="J15" s="13" t="str">
        <f>IF(Lançamentos!J15="","",Lançamentos!J15)</f>
        <v/>
      </c>
    </row>
    <row r="16" spans="1:10" ht="23.1" customHeight="1">
      <c r="A16" s="1" t="str">
        <f>IF(ISNUMBER(Lançamentos!A16),Lançamentos!A16,"")</f>
        <v/>
      </c>
      <c r="B16" s="1" t="str">
        <f>IF(Lançamentos!B16="","",Lançamentos!B16)</f>
        <v/>
      </c>
      <c r="C16" s="12" t="str">
        <f>IF(ISNUMBER(Lançamentos!C16),Lançamentos!C16,"")</f>
        <v/>
      </c>
      <c r="D16" s="10" t="str">
        <f>IF(A16="","",SUM(Lançamentos!D$9:D16))</f>
        <v/>
      </c>
      <c r="E16" s="1"/>
      <c r="F16" s="11" t="str">
        <f>IF(A16="","",SUM(Lançamentos!F$9:F16))</f>
        <v/>
      </c>
      <c r="G16" s="11" t="str">
        <f>IF(A16="","",SUM(Lançamentos!G$9:G16))</f>
        <v/>
      </c>
      <c r="H16" s="11" t="str">
        <f>IF(A16="","",SUM(Lançamentos!H$9:H16))</f>
        <v/>
      </c>
      <c r="I16" s="12" t="str">
        <f>IF(A16="","",SUM(Lançamentos!C$9:C16))</f>
        <v/>
      </c>
      <c r="J16" s="13" t="str">
        <f>IF(Lançamentos!J16="","",Lançamentos!J16)</f>
        <v/>
      </c>
    </row>
    <row r="17" spans="1:10" ht="23.1" customHeight="1">
      <c r="A17" s="1" t="str">
        <f>IF(ISNUMBER(Lançamentos!A17),Lançamentos!A17,"")</f>
        <v/>
      </c>
      <c r="B17" s="1" t="str">
        <f>IF(Lançamentos!B17="","",Lançamentos!B17)</f>
        <v/>
      </c>
      <c r="C17" s="12" t="str">
        <f>IF(ISNUMBER(Lançamentos!C17),Lançamentos!C17,"")</f>
        <v/>
      </c>
      <c r="D17" s="10" t="str">
        <f>IF(A17="","",SUM(Lançamentos!D$9:D17))</f>
        <v/>
      </c>
      <c r="E17" s="1"/>
      <c r="F17" s="11" t="str">
        <f>IF(A17="","",SUM(Lançamentos!F$9:F17))</f>
        <v/>
      </c>
      <c r="G17" s="11" t="str">
        <f>IF(A17="","",SUM(Lançamentos!G$9:G17))</f>
        <v/>
      </c>
      <c r="H17" s="11" t="str">
        <f>IF(A17="","",SUM(Lançamentos!H$9:H17))</f>
        <v/>
      </c>
      <c r="I17" s="12" t="str">
        <f>IF(A17="","",SUM(Lançamentos!C$9:C17))</f>
        <v/>
      </c>
      <c r="J17" s="13" t="str">
        <f>IF(Lançamentos!J17="","",Lançamentos!J17)</f>
        <v/>
      </c>
    </row>
    <row r="18" spans="1:10" ht="23.1" customHeight="1">
      <c r="A18" s="1" t="str">
        <f>IF(ISNUMBER(Lançamentos!A18),Lançamentos!A18,"")</f>
        <v/>
      </c>
      <c r="B18" s="1" t="str">
        <f>IF(Lançamentos!B18="","",Lançamentos!B18)</f>
        <v/>
      </c>
      <c r="C18" s="12" t="str">
        <f>IF(ISNUMBER(Lançamentos!C18),Lançamentos!C18,"")</f>
        <v/>
      </c>
      <c r="D18" s="10" t="str">
        <f>IF(A18="","",SUM(Lançamentos!D$9:D18))</f>
        <v/>
      </c>
      <c r="E18" s="1"/>
      <c r="F18" s="11" t="str">
        <f>IF(A18="","",SUM(Lançamentos!F$9:F18))</f>
        <v/>
      </c>
      <c r="G18" s="11" t="str">
        <f>IF(A18="","",SUM(Lançamentos!G$9:G18))</f>
        <v/>
      </c>
      <c r="H18" s="11" t="str">
        <f>IF(A18="","",SUM(Lançamentos!H$9:H18))</f>
        <v/>
      </c>
      <c r="I18" s="12" t="str">
        <f>IF(A18="","",SUM(Lançamentos!C$9:C18))</f>
        <v/>
      </c>
      <c r="J18" s="13" t="str">
        <f>IF(Lançamentos!J18="","",Lançamentos!J18)</f>
        <v/>
      </c>
    </row>
    <row r="19" spans="1:10" ht="23.1" customHeight="1">
      <c r="A19" s="1" t="str">
        <f>IF(ISNUMBER(Lançamentos!A19),Lançamentos!A19,"")</f>
        <v/>
      </c>
      <c r="B19" s="1" t="str">
        <f>IF(Lançamentos!B19="","",Lançamentos!B19)</f>
        <v/>
      </c>
      <c r="C19" s="12" t="str">
        <f>IF(ISNUMBER(Lançamentos!C19),Lançamentos!C19,"")</f>
        <v/>
      </c>
      <c r="D19" s="10" t="str">
        <f>IF(A19="","",SUM(Lançamentos!D$9:D19))</f>
        <v/>
      </c>
      <c r="E19" s="1"/>
      <c r="F19" s="11" t="str">
        <f>IF(A19="","",SUM(Lançamentos!F$9:F19))</f>
        <v/>
      </c>
      <c r="G19" s="11" t="str">
        <f>IF(A19="","",SUM(Lançamentos!G$9:G19))</f>
        <v/>
      </c>
      <c r="H19" s="11" t="str">
        <f>IF(A19="","",SUM(Lançamentos!H$9:H19))</f>
        <v/>
      </c>
      <c r="I19" s="12" t="str">
        <f>IF(A19="","",SUM(Lançamentos!C$9:C19))</f>
        <v/>
      </c>
      <c r="J19" s="13" t="str">
        <f>IF(Lançamentos!J19="","",Lançamentos!J19)</f>
        <v/>
      </c>
    </row>
    <row r="20" spans="1:10" ht="23.1" customHeight="1">
      <c r="A20" s="1" t="str">
        <f>IF(ISNUMBER(Lançamentos!A20),Lançamentos!A20,"")</f>
        <v/>
      </c>
      <c r="B20" s="1" t="str">
        <f>IF(Lançamentos!B20="","",Lançamentos!B20)</f>
        <v/>
      </c>
      <c r="C20" s="12" t="str">
        <f>IF(ISNUMBER(Lançamentos!C20),Lançamentos!C20,"")</f>
        <v/>
      </c>
      <c r="D20" s="10" t="str">
        <f>IF(A20="","",SUM(Lançamentos!D$9:D20))</f>
        <v/>
      </c>
      <c r="E20" s="1"/>
      <c r="F20" s="11" t="str">
        <f>IF(A20="","",SUM(Lançamentos!F$9:F20))</f>
        <v/>
      </c>
      <c r="G20" s="11" t="str">
        <f>IF(A20="","",SUM(Lançamentos!G$9:G20))</f>
        <v/>
      </c>
      <c r="H20" s="11" t="str">
        <f>IF(A20="","",SUM(Lançamentos!H$9:H20))</f>
        <v/>
      </c>
      <c r="I20" s="12" t="str">
        <f>IF(A20="","",SUM(Lançamentos!C$9:C20))</f>
        <v/>
      </c>
      <c r="J20" s="13" t="str">
        <f>IF(Lançamentos!J20="","",Lançamentos!J20)</f>
        <v/>
      </c>
    </row>
    <row r="21" spans="1:10" ht="23.1" customHeight="1">
      <c r="A21" s="1" t="str">
        <f>IF(ISNUMBER(Lançamentos!A21),Lançamentos!A21,"")</f>
        <v/>
      </c>
      <c r="B21" s="1" t="str">
        <f>IF(Lançamentos!B21="","",Lançamentos!B21)</f>
        <v/>
      </c>
      <c r="C21" s="12" t="str">
        <f>IF(ISNUMBER(Lançamentos!C21),Lançamentos!C21,"")</f>
        <v/>
      </c>
      <c r="D21" s="10" t="str">
        <f>IF(A21="","",SUM(Lançamentos!D$9:D21))</f>
        <v/>
      </c>
      <c r="E21" s="1"/>
      <c r="F21" s="11" t="str">
        <f>IF(A21="","",SUM(Lançamentos!F$9:F21))</f>
        <v/>
      </c>
      <c r="G21" s="11" t="str">
        <f>IF(A21="","",SUM(Lançamentos!G$9:G21))</f>
        <v/>
      </c>
      <c r="H21" s="11" t="str">
        <f>IF(A21="","",SUM(Lançamentos!H$9:H21))</f>
        <v/>
      </c>
      <c r="I21" s="12" t="str">
        <f>IF(A21="","",SUM(Lançamentos!C$9:C21))</f>
        <v/>
      </c>
      <c r="J21" s="13" t="str">
        <f>IF(Lançamentos!J21="","",Lançamentos!J21)</f>
        <v/>
      </c>
    </row>
    <row r="22" spans="1:10" ht="23.1" customHeight="1">
      <c r="A22" s="1" t="str">
        <f>IF(ISNUMBER(Lançamentos!A22),Lançamentos!A22,"")</f>
        <v/>
      </c>
      <c r="B22" s="1" t="str">
        <f>IF(Lançamentos!B22="","",Lançamentos!B22)</f>
        <v/>
      </c>
      <c r="C22" s="12" t="str">
        <f>IF(ISNUMBER(Lançamentos!C22),Lançamentos!C22,"")</f>
        <v/>
      </c>
      <c r="D22" s="10" t="str">
        <f>IF(A22="","",SUM(Lançamentos!D$9:D22))</f>
        <v/>
      </c>
      <c r="E22" s="1"/>
      <c r="F22" s="11" t="str">
        <f>IF(A22="","",SUM(Lançamentos!F$9:F22))</f>
        <v/>
      </c>
      <c r="G22" s="11" t="str">
        <f>IF(A22="","",SUM(Lançamentos!G$9:G22))</f>
        <v/>
      </c>
      <c r="H22" s="11" t="str">
        <f>IF(A22="","",SUM(Lançamentos!H$9:H22))</f>
        <v/>
      </c>
      <c r="I22" s="12" t="str">
        <f>IF(A22="","",SUM(Lançamentos!C$9:C22))</f>
        <v/>
      </c>
      <c r="J22" s="13" t="str">
        <f>IF(Lançamentos!J22="","",Lançamentos!J22)</f>
        <v/>
      </c>
    </row>
    <row r="23" spans="1:10" ht="23.1" customHeight="1">
      <c r="A23" s="1" t="str">
        <f>IF(ISNUMBER(Lançamentos!A23),Lançamentos!A23,"")</f>
        <v/>
      </c>
      <c r="B23" s="1" t="str">
        <f>IF(Lançamentos!B23="","",Lançamentos!B23)</f>
        <v/>
      </c>
      <c r="C23" s="12" t="str">
        <f>IF(ISNUMBER(Lançamentos!C23),Lançamentos!C23,"")</f>
        <v/>
      </c>
      <c r="D23" s="10" t="str">
        <f>IF(A23="","",SUM(Lançamentos!D$9:D23))</f>
        <v/>
      </c>
      <c r="E23" s="1"/>
      <c r="F23" s="11" t="str">
        <f>IF(A23="","",SUM(Lançamentos!F$9:F23))</f>
        <v/>
      </c>
      <c r="G23" s="11" t="str">
        <f>IF(A23="","",SUM(Lançamentos!G$9:G23))</f>
        <v/>
      </c>
      <c r="H23" s="11" t="str">
        <f>IF(A23="","",SUM(Lançamentos!H$9:H23))</f>
        <v/>
      </c>
      <c r="I23" s="12" t="str">
        <f>IF(A23="","",SUM(Lançamentos!C$9:C23))</f>
        <v/>
      </c>
      <c r="J23" s="13" t="str">
        <f>IF(Lançamentos!J23="","",Lançamentos!J23)</f>
        <v/>
      </c>
    </row>
    <row r="24" spans="1:10" ht="23.1" customHeight="1">
      <c r="A24" s="1" t="str">
        <f>IF(ISNUMBER(Lançamentos!A24),Lançamentos!A24,"")</f>
        <v/>
      </c>
      <c r="B24" s="1" t="str">
        <f>IF(Lançamentos!B24="","",Lançamentos!B24)</f>
        <v/>
      </c>
      <c r="C24" s="12" t="str">
        <f>IF(ISNUMBER(Lançamentos!C24),Lançamentos!C24,"")</f>
        <v/>
      </c>
      <c r="D24" s="10" t="str">
        <f>IF(A24="","",SUM(Lançamentos!D$9:D24))</f>
        <v/>
      </c>
      <c r="E24" s="1"/>
      <c r="F24" s="11" t="str">
        <f>IF(A24="","",SUM(Lançamentos!F$9:F24))</f>
        <v/>
      </c>
      <c r="G24" s="11" t="str">
        <f>IF(A24="","",SUM(Lançamentos!G$9:G24))</f>
        <v/>
      </c>
      <c r="H24" s="11" t="str">
        <f>IF(A24="","",SUM(Lançamentos!H$9:H24))</f>
        <v/>
      </c>
      <c r="I24" s="12" t="str">
        <f>IF(A24="","",SUM(Lançamentos!C$9:C24))</f>
        <v/>
      </c>
      <c r="J24" s="13" t="str">
        <f>IF(Lançamentos!J24="","",Lançamentos!J24)</f>
        <v/>
      </c>
    </row>
    <row r="25" spans="1:10" ht="23.1" customHeight="1">
      <c r="A25" s="1" t="str">
        <f>IF(ISNUMBER(Lançamentos!A25),Lançamentos!A25,"")</f>
        <v/>
      </c>
      <c r="B25" s="1" t="str">
        <f>IF(Lançamentos!B25="","",Lançamentos!B25)</f>
        <v/>
      </c>
      <c r="C25" s="12" t="str">
        <f>IF(ISNUMBER(Lançamentos!C25),Lançamentos!C25,"")</f>
        <v/>
      </c>
      <c r="D25" s="10" t="str">
        <f>IF(A25="","",SUM(Lançamentos!D$9:D25))</f>
        <v/>
      </c>
      <c r="E25" s="1"/>
      <c r="F25" s="11" t="str">
        <f>IF(A25="","",SUM(Lançamentos!F$9:F25))</f>
        <v/>
      </c>
      <c r="G25" s="11" t="str">
        <f>IF(A25="","",SUM(Lançamentos!G$9:G25))</f>
        <v/>
      </c>
      <c r="H25" s="11" t="str">
        <f>IF(A25="","",SUM(Lançamentos!H$9:H25))</f>
        <v/>
      </c>
      <c r="I25" s="12" t="str">
        <f>IF(A25="","",SUM(Lançamentos!C$9:C25))</f>
        <v/>
      </c>
      <c r="J25" s="13" t="str">
        <f>IF(Lançamentos!J25="","",Lançamentos!J25)</f>
        <v/>
      </c>
    </row>
    <row r="26" spans="1:10" ht="23.1" customHeight="1">
      <c r="A26" s="1" t="str">
        <f>IF(ISNUMBER(Lançamentos!A26),Lançamentos!A26,"")</f>
        <v/>
      </c>
      <c r="B26" s="1" t="str">
        <f>IF(Lançamentos!B26="","",Lançamentos!B26)</f>
        <v/>
      </c>
      <c r="C26" s="12" t="str">
        <f>IF(ISNUMBER(Lançamentos!C26),Lançamentos!C26,"")</f>
        <v/>
      </c>
      <c r="D26" s="10" t="str">
        <f>IF(A26="","",SUM(Lançamentos!D$9:D26))</f>
        <v/>
      </c>
      <c r="E26" s="1"/>
      <c r="F26" s="11" t="str">
        <f>IF(A26="","",SUM(Lançamentos!F$9:F26))</f>
        <v/>
      </c>
      <c r="G26" s="11" t="str">
        <f>IF(A26="","",SUM(Lançamentos!G$9:G26))</f>
        <v/>
      </c>
      <c r="H26" s="11" t="str">
        <f>IF(A26="","",SUM(Lançamentos!H$9:H26))</f>
        <v/>
      </c>
      <c r="I26" s="12" t="str">
        <f>IF(A26="","",SUM(Lançamentos!C$9:C26))</f>
        <v/>
      </c>
      <c r="J26" s="13" t="str">
        <f>IF(Lançamentos!J26="","",Lançamentos!J26)</f>
        <v/>
      </c>
    </row>
    <row r="27" spans="1:10" ht="23.1" customHeight="1">
      <c r="A27" s="1" t="str">
        <f>IF(ISNUMBER(Lançamentos!A27),Lançamentos!A27,"")</f>
        <v/>
      </c>
      <c r="B27" s="1" t="str">
        <f>IF(Lançamentos!B27="","",Lançamentos!B27)</f>
        <v/>
      </c>
      <c r="C27" s="12" t="str">
        <f>IF(ISNUMBER(Lançamentos!C27),Lançamentos!C27,"")</f>
        <v/>
      </c>
      <c r="D27" s="10" t="str">
        <f>IF(A27="","",SUM(Lançamentos!D$9:D27))</f>
        <v/>
      </c>
      <c r="E27" s="1"/>
      <c r="F27" s="11" t="str">
        <f>IF(A27="","",SUM(Lançamentos!F$9:F27))</f>
        <v/>
      </c>
      <c r="G27" s="11" t="str">
        <f>IF(A27="","",SUM(Lançamentos!G$9:G27))</f>
        <v/>
      </c>
      <c r="H27" s="11" t="str">
        <f>IF(A27="","",SUM(Lançamentos!H$9:H27))</f>
        <v/>
      </c>
      <c r="I27" s="12" t="str">
        <f>IF(A27="","",SUM(Lançamentos!C$9:C27))</f>
        <v/>
      </c>
      <c r="J27" s="13" t="str">
        <f>IF(Lançamentos!J27="","",Lançamentos!J27)</f>
        <v/>
      </c>
    </row>
    <row r="28" spans="1:10" ht="23.1" customHeight="1">
      <c r="A28" s="1" t="str">
        <f>IF(ISNUMBER(Lançamentos!A28),Lançamentos!A28,"")</f>
        <v/>
      </c>
      <c r="B28" s="1" t="str">
        <f>IF(Lançamentos!B28="","",Lançamentos!B28)</f>
        <v/>
      </c>
      <c r="C28" s="12" t="str">
        <f>IF(ISNUMBER(Lançamentos!C28),Lançamentos!C28,"")</f>
        <v/>
      </c>
      <c r="D28" s="10" t="str">
        <f>IF(A28="","",SUM(Lançamentos!D$9:D28))</f>
        <v/>
      </c>
      <c r="E28" s="1"/>
      <c r="F28" s="11" t="str">
        <f>IF(A28="","",SUM(Lançamentos!F$9:F28))</f>
        <v/>
      </c>
      <c r="G28" s="11" t="str">
        <f>IF(A28="","",SUM(Lançamentos!G$9:G28))</f>
        <v/>
      </c>
      <c r="H28" s="11" t="str">
        <f>IF(A28="","",SUM(Lançamentos!H$9:H28))</f>
        <v/>
      </c>
      <c r="I28" s="12" t="str">
        <f>IF(A28="","",SUM(Lançamentos!C$9:C28))</f>
        <v/>
      </c>
      <c r="J28" s="13" t="str">
        <f>IF(Lançamentos!J28="","",Lançamentos!J28)</f>
        <v/>
      </c>
    </row>
    <row r="29" spans="1:10" ht="23.1" customHeight="1">
      <c r="A29" s="1" t="str">
        <f>IF(ISNUMBER(Lançamentos!A29),Lançamentos!A29,"")</f>
        <v/>
      </c>
      <c r="B29" s="1" t="str">
        <f>IF(Lançamentos!B29="","",Lançamentos!B29)</f>
        <v/>
      </c>
      <c r="C29" s="12" t="str">
        <f>IF(ISNUMBER(Lançamentos!C29),Lançamentos!C29,"")</f>
        <v/>
      </c>
      <c r="D29" s="10" t="str">
        <f>IF(A29="","",SUM(Lançamentos!D$9:D29))</f>
        <v/>
      </c>
      <c r="E29" s="1"/>
      <c r="F29" s="11" t="str">
        <f>IF(A29="","",SUM(Lançamentos!F$9:F29))</f>
        <v/>
      </c>
      <c r="G29" s="11" t="str">
        <f>IF(A29="","",SUM(Lançamentos!G$9:G29))</f>
        <v/>
      </c>
      <c r="H29" s="11" t="str">
        <f>IF(A29="","",SUM(Lançamentos!H$9:H29))</f>
        <v/>
      </c>
      <c r="I29" s="12" t="str">
        <f>IF(A29="","",SUM(Lançamentos!C$9:C29))</f>
        <v/>
      </c>
      <c r="J29" s="13" t="str">
        <f>IF(Lançamentos!J29="","",Lançamentos!J29)</f>
        <v/>
      </c>
    </row>
    <row r="30" spans="1:10" ht="23.1" customHeight="1">
      <c r="A30" s="1" t="str">
        <f>IF(ISNUMBER(Lançamentos!A30),Lançamentos!A30,"")</f>
        <v/>
      </c>
      <c r="B30" s="1" t="str">
        <f>IF(Lançamentos!B30="","",Lançamentos!B30)</f>
        <v/>
      </c>
      <c r="C30" s="12" t="str">
        <f>IF(ISNUMBER(Lançamentos!C30),Lançamentos!C30,"")</f>
        <v/>
      </c>
      <c r="D30" s="10" t="str">
        <f>IF(A30="","",SUM(Lançamentos!D$9:D30))</f>
        <v/>
      </c>
      <c r="E30" s="1"/>
      <c r="F30" s="11" t="str">
        <f>IF(A30="","",SUM(Lançamentos!F$9:F30))</f>
        <v/>
      </c>
      <c r="G30" s="11" t="str">
        <f>IF(A30="","",SUM(Lançamentos!G$9:G30))</f>
        <v/>
      </c>
      <c r="H30" s="11" t="str">
        <f>IF(A30="","",SUM(Lançamentos!H$9:H30))</f>
        <v/>
      </c>
      <c r="I30" s="12" t="str">
        <f>IF(A30="","",SUM(Lançamentos!C$9:C30))</f>
        <v/>
      </c>
      <c r="J30" s="13" t="str">
        <f>IF(Lançamentos!J30="","",Lançamentos!J30)</f>
        <v/>
      </c>
    </row>
    <row r="31" spans="1:10" ht="23.1" customHeight="1">
      <c r="A31" s="1" t="str">
        <f>IF(ISNUMBER(Lançamentos!A31),Lançamentos!A31,"")</f>
        <v/>
      </c>
      <c r="B31" s="1" t="str">
        <f>IF(Lançamentos!B31="","",Lançamentos!B31)</f>
        <v/>
      </c>
      <c r="C31" s="12" t="str">
        <f>IF(ISNUMBER(Lançamentos!C31),Lançamentos!C31,"")</f>
        <v/>
      </c>
      <c r="D31" s="10" t="str">
        <f>IF(A31="","",SUM(Lançamentos!D$9:D31))</f>
        <v/>
      </c>
      <c r="E31" s="1"/>
      <c r="F31" s="11" t="str">
        <f>IF(A31="","",SUM(Lançamentos!F$9:F31))</f>
        <v/>
      </c>
      <c r="G31" s="11" t="str">
        <f>IF(A31="","",SUM(Lançamentos!G$9:G31))</f>
        <v/>
      </c>
      <c r="H31" s="11" t="str">
        <f>IF(A31="","",SUM(Lançamentos!H$9:H31))</f>
        <v/>
      </c>
      <c r="I31" s="12" t="str">
        <f>IF(A31="","",SUM(Lançamentos!C$9:C31))</f>
        <v/>
      </c>
      <c r="J31" s="13" t="str">
        <f>IF(Lançamentos!J31="","",Lançamentos!J31)</f>
        <v/>
      </c>
    </row>
    <row r="32" spans="1:10" ht="23.1" customHeight="1">
      <c r="A32" s="1" t="str">
        <f>IF(ISNUMBER(Lançamentos!A32),Lançamentos!A32,"")</f>
        <v/>
      </c>
      <c r="B32" s="1" t="str">
        <f>IF(Lançamentos!B32="","",Lançamentos!B32)</f>
        <v/>
      </c>
      <c r="C32" s="12" t="str">
        <f>IF(ISNUMBER(Lançamentos!C32),Lançamentos!C32,"")</f>
        <v/>
      </c>
      <c r="D32" s="10" t="str">
        <f>IF(A32="","",SUM(Lançamentos!D$9:D32))</f>
        <v/>
      </c>
      <c r="E32" s="1"/>
      <c r="F32" s="11" t="str">
        <f>IF(A32="","",SUM(Lançamentos!F$9:F32))</f>
        <v/>
      </c>
      <c r="G32" s="11" t="str">
        <f>IF(A32="","",SUM(Lançamentos!G$9:G32))</f>
        <v/>
      </c>
      <c r="H32" s="11" t="str">
        <f>IF(A32="","",SUM(Lançamentos!H$9:H32))</f>
        <v/>
      </c>
      <c r="I32" s="12" t="str">
        <f>IF(A32="","",SUM(Lançamentos!C$9:C32))</f>
        <v/>
      </c>
      <c r="J32" s="13" t="str">
        <f>IF(Lançamentos!J32="","",Lançamentos!J32)</f>
        <v/>
      </c>
    </row>
    <row r="33" spans="1:10" ht="23.1" customHeight="1">
      <c r="A33" s="1" t="str">
        <f>IF(ISNUMBER(Lançamentos!A33),Lançamentos!A33,"")</f>
        <v/>
      </c>
      <c r="B33" s="1" t="str">
        <f>IF(Lançamentos!B33="","",Lançamentos!B33)</f>
        <v/>
      </c>
      <c r="C33" s="12" t="str">
        <f>IF(ISNUMBER(Lançamentos!C33),Lançamentos!C33,"")</f>
        <v/>
      </c>
      <c r="D33" s="10" t="str">
        <f>IF(A33="","",SUM(Lançamentos!D$9:D33))</f>
        <v/>
      </c>
      <c r="E33" s="1"/>
      <c r="F33" s="11" t="str">
        <f>IF(A33="","",SUM(Lançamentos!F$9:F33))</f>
        <v/>
      </c>
      <c r="G33" s="11" t="str">
        <f>IF(A33="","",SUM(Lançamentos!G$9:G33))</f>
        <v/>
      </c>
      <c r="H33" s="11" t="str">
        <f>IF(A33="","",SUM(Lançamentos!H$9:H33))</f>
        <v/>
      </c>
      <c r="I33" s="12" t="str">
        <f>IF(A33="","",SUM(Lançamentos!C$9:C33))</f>
        <v/>
      </c>
      <c r="J33" s="13" t="str">
        <f>IF(Lançamentos!J33="","",Lançamentos!J33)</f>
        <v/>
      </c>
    </row>
    <row r="34" spans="1:10" ht="23.1" customHeight="1">
      <c r="A34" s="1" t="str">
        <f>IF(ISNUMBER(Lançamentos!A34),Lançamentos!A34,"")</f>
        <v/>
      </c>
      <c r="B34" s="1" t="str">
        <f>IF(Lançamentos!B34="","",Lançamentos!B34)</f>
        <v/>
      </c>
      <c r="C34" s="12" t="str">
        <f>IF(ISNUMBER(Lançamentos!C34),Lançamentos!C34,"")</f>
        <v/>
      </c>
      <c r="D34" s="10" t="str">
        <f>IF(A34="","",SUM(Lançamentos!D$9:D34))</f>
        <v/>
      </c>
      <c r="E34" s="1"/>
      <c r="F34" s="11" t="str">
        <f>IF(A34="","",SUM(Lançamentos!F$9:F34))</f>
        <v/>
      </c>
      <c r="G34" s="11" t="str">
        <f>IF(A34="","",SUM(Lançamentos!G$9:G34))</f>
        <v/>
      </c>
      <c r="H34" s="11" t="str">
        <f>IF(A34="","",SUM(Lançamentos!H$9:H34))</f>
        <v/>
      </c>
      <c r="I34" s="12" t="str">
        <f>IF(A34="","",SUM(Lançamentos!C$9:C34))</f>
        <v/>
      </c>
      <c r="J34" s="13" t="str">
        <f>IF(Lançamentos!J34="","",Lançamentos!J34)</f>
        <v/>
      </c>
    </row>
    <row r="35" spans="1:10" ht="23.1" customHeight="1">
      <c r="A35" s="1" t="str">
        <f>IF(ISNUMBER(Lançamentos!A35),Lançamentos!A35,"")</f>
        <v/>
      </c>
      <c r="B35" s="1" t="str">
        <f>IF(Lançamentos!B35="","",Lançamentos!B35)</f>
        <v/>
      </c>
      <c r="C35" s="12" t="str">
        <f>IF(ISNUMBER(Lançamentos!C35),Lançamentos!C35,"")</f>
        <v/>
      </c>
      <c r="D35" s="10" t="str">
        <f>IF(A35="","",SUM(Lançamentos!D$9:D35))</f>
        <v/>
      </c>
      <c r="E35" s="1"/>
      <c r="F35" s="11" t="str">
        <f>IF(A35="","",SUM(Lançamentos!F$9:F35))</f>
        <v/>
      </c>
      <c r="G35" s="11" t="str">
        <f>IF(A35="","",SUM(Lançamentos!G$9:G35))</f>
        <v/>
      </c>
      <c r="H35" s="11" t="str">
        <f>IF(A35="","",SUM(Lançamentos!H$9:H35))</f>
        <v/>
      </c>
      <c r="I35" s="12" t="str">
        <f>IF(A35="","",SUM(Lançamentos!C$9:C35))</f>
        <v/>
      </c>
      <c r="J35" s="13" t="str">
        <f>IF(Lançamentos!J35="","",Lançamentos!J35)</f>
        <v/>
      </c>
    </row>
    <row r="36" spans="1:10" ht="23.1" customHeight="1">
      <c r="A36" s="1" t="str">
        <f>IF(ISNUMBER(Lançamentos!A36),Lançamentos!A36,"")</f>
        <v/>
      </c>
      <c r="B36" s="1" t="str">
        <f>IF(Lançamentos!B36="","",Lançamentos!B36)</f>
        <v/>
      </c>
      <c r="C36" s="12" t="str">
        <f>IF(ISNUMBER(Lançamentos!C36),Lançamentos!C36,"")</f>
        <v/>
      </c>
      <c r="D36" s="10" t="str">
        <f>IF(A36="","",SUM(Lançamentos!D$9:D36))</f>
        <v/>
      </c>
      <c r="E36" s="1"/>
      <c r="F36" s="11" t="str">
        <f>IF(A36="","",SUM(Lançamentos!F$9:F36))</f>
        <v/>
      </c>
      <c r="G36" s="11" t="str">
        <f>IF(A36="","",SUM(Lançamentos!G$9:G36))</f>
        <v/>
      </c>
      <c r="H36" s="11" t="str">
        <f>IF(A36="","",SUM(Lançamentos!H$9:H36))</f>
        <v/>
      </c>
      <c r="I36" s="12" t="str">
        <f>IF(A36="","",SUM(Lançamentos!C$9:C36))</f>
        <v/>
      </c>
      <c r="J36" s="13" t="str">
        <f>IF(Lançamentos!J36="","",Lançamentos!J36)</f>
        <v/>
      </c>
    </row>
    <row r="37" spans="1:10" ht="23.1" customHeight="1">
      <c r="A37" s="1" t="str">
        <f>IF(ISNUMBER(Lançamentos!A37),Lançamentos!A37,"")</f>
        <v/>
      </c>
      <c r="B37" s="1" t="str">
        <f>IF(Lançamentos!B37="","",Lançamentos!B37)</f>
        <v/>
      </c>
      <c r="C37" s="12" t="str">
        <f>IF(ISNUMBER(Lançamentos!C37),Lançamentos!C37,"")</f>
        <v/>
      </c>
      <c r="D37" s="10" t="str">
        <f>IF(A37="","",SUM(Lançamentos!D$9:D37))</f>
        <v/>
      </c>
      <c r="E37" s="1"/>
      <c r="F37" s="11" t="str">
        <f>IF(A37="","",SUM(Lançamentos!F$9:F37))</f>
        <v/>
      </c>
      <c r="G37" s="11" t="str">
        <f>IF(A37="","",SUM(Lançamentos!G$9:G37))</f>
        <v/>
      </c>
      <c r="H37" s="11" t="str">
        <f>IF(A37="","",SUM(Lançamentos!H$9:H37))</f>
        <v/>
      </c>
      <c r="I37" s="12" t="str">
        <f>IF(A37="","",SUM(Lançamentos!C$9:C37))</f>
        <v/>
      </c>
      <c r="J37" s="13" t="str">
        <f>IF(Lançamentos!J37="","",Lançamentos!J37)</f>
        <v/>
      </c>
    </row>
    <row r="38" spans="1:10" ht="23.1" customHeight="1">
      <c r="A38" s="1" t="str">
        <f>IF(ISNUMBER(Lançamentos!A38),Lançamentos!A38,"")</f>
        <v/>
      </c>
      <c r="B38" s="1" t="str">
        <f>IF(Lançamentos!B38="","",Lançamentos!B38)</f>
        <v/>
      </c>
      <c r="C38" s="12" t="str">
        <f>IF(ISNUMBER(Lançamentos!C38),Lançamentos!C38,"")</f>
        <v/>
      </c>
      <c r="D38" s="10" t="str">
        <f>IF(A38="","",SUM(Lançamentos!D$9:D38))</f>
        <v/>
      </c>
      <c r="E38" s="1"/>
      <c r="F38" s="11" t="str">
        <f>IF(A38="","",SUM(Lançamentos!F$9:F38))</f>
        <v/>
      </c>
      <c r="G38" s="11" t="str">
        <f>IF(A38="","",SUM(Lançamentos!G$9:G38))</f>
        <v/>
      </c>
      <c r="H38" s="11" t="str">
        <f>IF(A38="","",SUM(Lançamentos!H$9:H38))</f>
        <v/>
      </c>
      <c r="I38" s="12" t="str">
        <f>IF(A38="","",SUM(Lançamentos!C$9:C38))</f>
        <v/>
      </c>
      <c r="J38" s="13" t="str">
        <f>IF(Lançamentos!J38="","",Lançamentos!J38)</f>
        <v/>
      </c>
    </row>
    <row r="39" spans="1:10" ht="23.1" customHeight="1">
      <c r="A39" s="1" t="str">
        <f>IF(ISNUMBER(Lançamentos!A39),Lançamentos!A39,"")</f>
        <v/>
      </c>
      <c r="B39" s="1" t="str">
        <f>IF(Lançamentos!B39="","",Lançamentos!B39)</f>
        <v/>
      </c>
      <c r="C39" s="12" t="str">
        <f>IF(ISNUMBER(Lançamentos!C39),Lançamentos!C39,"")</f>
        <v/>
      </c>
      <c r="D39" s="10" t="str">
        <f>IF(A39="","",SUM(Lançamentos!D$9:D39))</f>
        <v/>
      </c>
      <c r="E39" s="1"/>
      <c r="F39" s="11" t="str">
        <f>IF(A39="","",SUM(Lançamentos!F$9:F39))</f>
        <v/>
      </c>
      <c r="G39" s="11" t="str">
        <f>IF(A39="","",SUM(Lançamentos!G$9:G39))</f>
        <v/>
      </c>
      <c r="H39" s="11" t="str">
        <f>IF(A39="","",SUM(Lançamentos!H$9:H39))</f>
        <v/>
      </c>
      <c r="I39" s="12" t="str">
        <f>IF(A39="","",SUM(Lançamentos!C$9:C39))</f>
        <v/>
      </c>
      <c r="J39" s="13" t="str">
        <f>IF(Lançamentos!J39="","",Lançamentos!J39)</f>
        <v/>
      </c>
    </row>
    <row r="40" spans="1:10" ht="23.1" customHeight="1">
      <c r="A40" s="1" t="str">
        <f>IF(ISNUMBER(Lançamentos!A40),Lançamentos!A40,"")</f>
        <v/>
      </c>
      <c r="B40" s="1" t="str">
        <f>IF(Lançamentos!B40="","",Lançamentos!B40)</f>
        <v/>
      </c>
      <c r="C40" s="12" t="str">
        <f>IF(ISNUMBER(Lançamentos!C40),Lançamentos!C40,"")</f>
        <v/>
      </c>
      <c r="D40" s="10" t="str">
        <f>IF(A40="","",SUM(Lançamentos!D$9:D40))</f>
        <v/>
      </c>
      <c r="E40" s="1"/>
      <c r="F40" s="11" t="str">
        <f>IF(A40="","",SUM(Lançamentos!F$9:F40))</f>
        <v/>
      </c>
      <c r="G40" s="11" t="str">
        <f>IF(A40="","",SUM(Lançamentos!G$9:G40))</f>
        <v/>
      </c>
      <c r="H40" s="11" t="str">
        <f>IF(A40="","",SUM(Lançamentos!H$9:H40))</f>
        <v/>
      </c>
      <c r="I40" s="12" t="str">
        <f>IF(A40="","",SUM(Lançamentos!C$9:C40))</f>
        <v/>
      </c>
      <c r="J40" s="13" t="str">
        <f>IF(Lançamentos!J40="","",Lançamentos!J40)</f>
        <v/>
      </c>
    </row>
    <row r="41" spans="1:10" ht="23.1" customHeight="1">
      <c r="A41" s="1" t="str">
        <f>IF(ISNUMBER(Lançamentos!A41),Lançamentos!A41,"")</f>
        <v/>
      </c>
      <c r="B41" s="1" t="str">
        <f>IF(Lançamentos!B41="","",Lançamentos!B41)</f>
        <v/>
      </c>
      <c r="C41" s="12" t="str">
        <f>IF(ISNUMBER(Lançamentos!C41),Lançamentos!C41,"")</f>
        <v/>
      </c>
      <c r="D41" s="10" t="str">
        <f>IF(A41="","",SUM(Lançamentos!D$9:D41))</f>
        <v/>
      </c>
      <c r="E41" s="1"/>
      <c r="F41" s="11" t="str">
        <f>IF(A41="","",SUM(Lançamentos!F$9:F41))</f>
        <v/>
      </c>
      <c r="G41" s="11" t="str">
        <f>IF(A41="","",SUM(Lançamentos!G$9:G41))</f>
        <v/>
      </c>
      <c r="H41" s="11" t="str">
        <f>IF(A41="","",SUM(Lançamentos!H$9:H41))</f>
        <v/>
      </c>
      <c r="I41" s="12" t="str">
        <f>IF(A41="","",SUM(Lançamentos!C$9:C41))</f>
        <v/>
      </c>
      <c r="J41" s="13" t="str">
        <f>IF(Lançamentos!J41="","",Lançamentos!J41)</f>
        <v/>
      </c>
    </row>
    <row r="42" spans="1:10" ht="23.1" customHeight="1">
      <c r="A42" s="1" t="str">
        <f>IF(ISNUMBER(Lançamentos!A42),Lançamentos!A42,"")</f>
        <v/>
      </c>
      <c r="B42" s="1" t="str">
        <f>IF(Lançamentos!B42="","",Lançamentos!B42)</f>
        <v/>
      </c>
      <c r="C42" s="12" t="str">
        <f>IF(ISNUMBER(Lançamentos!C42),Lançamentos!C42,"")</f>
        <v/>
      </c>
      <c r="D42" s="10" t="str">
        <f>IF(A42="","",SUM(Lançamentos!D$9:D42))</f>
        <v/>
      </c>
      <c r="E42" s="1"/>
      <c r="F42" s="11" t="str">
        <f>IF(A42="","",SUM(Lançamentos!F$9:F42))</f>
        <v/>
      </c>
      <c r="G42" s="11" t="str">
        <f>IF(A42="","",SUM(Lançamentos!G$9:G42))</f>
        <v/>
      </c>
      <c r="H42" s="11" t="str">
        <f>IF(A42="","",SUM(Lançamentos!H$9:H42))</f>
        <v/>
      </c>
      <c r="I42" s="12" t="str">
        <f>IF(A42="","",SUM(Lançamentos!C$9:C42))</f>
        <v/>
      </c>
      <c r="J42" s="13" t="str">
        <f>IF(Lançamentos!J42="","",Lançamentos!J42)</f>
        <v/>
      </c>
    </row>
    <row r="43" spans="1:10" ht="23.1" customHeight="1">
      <c r="A43" s="1" t="str">
        <f>IF(ISNUMBER(Lançamentos!A43),Lançamentos!A43,"")</f>
        <v/>
      </c>
      <c r="B43" s="1" t="str">
        <f>IF(Lançamentos!B43="","",Lançamentos!B43)</f>
        <v/>
      </c>
      <c r="C43" s="12" t="str">
        <f>IF(ISNUMBER(Lançamentos!C43),Lançamentos!C43,"")</f>
        <v/>
      </c>
      <c r="D43" s="10" t="str">
        <f>IF(A43="","",SUM(Lançamentos!D$9:D43))</f>
        <v/>
      </c>
      <c r="E43" s="1"/>
      <c r="F43" s="11" t="str">
        <f>IF(A43="","",SUM(Lançamentos!F$9:F43))</f>
        <v/>
      </c>
      <c r="G43" s="11" t="str">
        <f>IF(A43="","",SUM(Lançamentos!G$9:G43))</f>
        <v/>
      </c>
      <c r="H43" s="11" t="str">
        <f>IF(A43="","",SUM(Lançamentos!H$9:H43))</f>
        <v/>
      </c>
      <c r="I43" s="12" t="str">
        <f>IF(A43="","",SUM(Lançamentos!C$9:C43))</f>
        <v/>
      </c>
      <c r="J43" s="13" t="str">
        <f>IF(Lançamentos!J43="","",Lançamentos!J43)</f>
        <v/>
      </c>
    </row>
    <row r="44" spans="1:10" ht="23.1" customHeight="1">
      <c r="A44" s="1" t="str">
        <f>IF(ISNUMBER(Lançamentos!A44),Lançamentos!A44,"")</f>
        <v/>
      </c>
      <c r="B44" s="1" t="str">
        <f>IF(Lançamentos!B44="","",Lançamentos!B44)</f>
        <v/>
      </c>
      <c r="C44" s="12" t="str">
        <f>IF(ISNUMBER(Lançamentos!C44),Lançamentos!C44,"")</f>
        <v/>
      </c>
      <c r="D44" s="10" t="str">
        <f>IF(A44="","",SUM(Lançamentos!D$9:D44))</f>
        <v/>
      </c>
      <c r="E44" s="1"/>
      <c r="F44" s="11" t="str">
        <f>IF(A44="","",SUM(Lançamentos!F$9:F44))</f>
        <v/>
      </c>
      <c r="G44" s="11" t="str">
        <f>IF(A44="","",SUM(Lançamentos!G$9:G44))</f>
        <v/>
      </c>
      <c r="H44" s="11" t="str">
        <f>IF(A44="","",SUM(Lançamentos!H$9:H44))</f>
        <v/>
      </c>
      <c r="I44" s="12" t="str">
        <f>IF(A44="","",SUM(Lançamentos!C$9:C44))</f>
        <v/>
      </c>
      <c r="J44" s="13" t="str">
        <f>IF(Lançamentos!J44="","",Lançamentos!J44)</f>
        <v/>
      </c>
    </row>
    <row r="45" spans="1:10" ht="23.1" customHeight="1">
      <c r="A45" s="1" t="str">
        <f>IF(ISNUMBER(Lançamentos!A45),Lançamentos!A45,"")</f>
        <v/>
      </c>
      <c r="B45" s="1" t="str">
        <f>IF(Lançamentos!B45="","",Lançamentos!B45)</f>
        <v/>
      </c>
      <c r="C45" s="12" t="str">
        <f>IF(ISNUMBER(Lançamentos!C45),Lançamentos!C45,"")</f>
        <v/>
      </c>
      <c r="D45" s="10" t="str">
        <f>IF(A45="","",SUM(Lançamentos!D$9:D45))</f>
        <v/>
      </c>
      <c r="E45" s="1"/>
      <c r="F45" s="11" t="str">
        <f>IF(A45="","",SUM(Lançamentos!F$9:F45))</f>
        <v/>
      </c>
      <c r="G45" s="11" t="str">
        <f>IF(A45="","",SUM(Lançamentos!G$9:G45))</f>
        <v/>
      </c>
      <c r="H45" s="11" t="str">
        <f>IF(A45="","",SUM(Lançamentos!H$9:H45))</f>
        <v/>
      </c>
      <c r="I45" s="12" t="str">
        <f>IF(A45="","",SUM(Lançamentos!C$9:C45))</f>
        <v/>
      </c>
      <c r="J45" s="13" t="str">
        <f>IF(Lançamentos!J45="","",Lançamentos!J45)</f>
        <v/>
      </c>
    </row>
    <row r="46" spans="1:10" ht="23.1" customHeight="1">
      <c r="A46" s="1" t="str">
        <f>IF(ISNUMBER(Lançamentos!A46),Lançamentos!A46,"")</f>
        <v/>
      </c>
      <c r="B46" s="1" t="str">
        <f>IF(Lançamentos!B46="","",Lançamentos!B46)</f>
        <v/>
      </c>
      <c r="C46" s="12" t="str">
        <f>IF(ISNUMBER(Lançamentos!C46),Lançamentos!C46,"")</f>
        <v/>
      </c>
      <c r="D46" s="10" t="str">
        <f>IF(A46="","",SUM(Lançamentos!D$9:D46))</f>
        <v/>
      </c>
      <c r="E46" s="1"/>
      <c r="F46" s="11" t="str">
        <f>IF(A46="","",SUM(Lançamentos!F$9:F46))</f>
        <v/>
      </c>
      <c r="G46" s="11" t="str">
        <f>IF(A46="","",SUM(Lançamentos!G$9:G46))</f>
        <v/>
      </c>
      <c r="H46" s="11" t="str">
        <f>IF(A46="","",SUM(Lançamentos!H$9:H46))</f>
        <v/>
      </c>
      <c r="I46" s="12" t="str">
        <f>IF(A46="","",SUM(Lançamentos!C$9:C46))</f>
        <v/>
      </c>
      <c r="J46" s="13" t="str">
        <f>IF(Lançamentos!J46="","",Lançamentos!J46)</f>
        <v/>
      </c>
    </row>
    <row r="47" spans="1:10" ht="23.1" customHeight="1">
      <c r="A47" s="1" t="str">
        <f>IF(ISNUMBER(Lançamentos!A47),Lançamentos!A47,"")</f>
        <v/>
      </c>
      <c r="B47" s="1" t="str">
        <f>IF(Lançamentos!B47="","",Lançamentos!B47)</f>
        <v/>
      </c>
      <c r="C47" s="12" t="str">
        <f>IF(ISNUMBER(Lançamentos!C47),Lançamentos!C47,"")</f>
        <v/>
      </c>
      <c r="D47" s="10" t="str">
        <f>IF(A47="","",SUM(Lançamentos!D$9:D47))</f>
        <v/>
      </c>
      <c r="E47" s="1"/>
      <c r="F47" s="11" t="str">
        <f>IF(A47="","",SUM(Lançamentos!F$9:F47))</f>
        <v/>
      </c>
      <c r="G47" s="11" t="str">
        <f>IF(A47="","",SUM(Lançamentos!G$9:G47))</f>
        <v/>
      </c>
      <c r="H47" s="11" t="str">
        <f>IF(A47="","",SUM(Lançamentos!H$9:H47))</f>
        <v/>
      </c>
      <c r="I47" s="12" t="str">
        <f>IF(A47="","",SUM(Lançamentos!C$9:C47))</f>
        <v/>
      </c>
      <c r="J47" s="13" t="str">
        <f>IF(Lançamentos!J47="","",Lançamentos!J47)</f>
        <v/>
      </c>
    </row>
    <row r="48" spans="1:10" ht="23.1" customHeight="1">
      <c r="A48" s="1" t="str">
        <f>IF(ISNUMBER(Lançamentos!A48),Lançamentos!A48,"")</f>
        <v/>
      </c>
      <c r="B48" s="1" t="str">
        <f>IF(Lançamentos!B48="","",Lançamentos!B48)</f>
        <v/>
      </c>
      <c r="C48" s="12" t="str">
        <f>IF(ISNUMBER(Lançamentos!C48),Lançamentos!C48,"")</f>
        <v/>
      </c>
      <c r="D48" s="10" t="str">
        <f>IF(A48="","",SUM(Lançamentos!D$9:D48))</f>
        <v/>
      </c>
      <c r="E48" s="1"/>
      <c r="F48" s="11" t="str">
        <f>IF(A48="","",SUM(Lançamentos!F$9:F48))</f>
        <v/>
      </c>
      <c r="G48" s="11" t="str">
        <f>IF(A48="","",SUM(Lançamentos!G$9:G48))</f>
        <v/>
      </c>
      <c r="H48" s="11" t="str">
        <f>IF(A48="","",SUM(Lançamentos!H$9:H48))</f>
        <v/>
      </c>
      <c r="I48" s="12" t="str">
        <f>IF(A48="","",SUM(Lançamentos!C$9:C48))</f>
        <v/>
      </c>
      <c r="J48" s="13" t="str">
        <f>IF(Lançamentos!J48="","",Lançamentos!J48)</f>
        <v/>
      </c>
    </row>
    <row r="49" spans="1:10" ht="23.1" customHeight="1">
      <c r="A49" s="1" t="str">
        <f>IF(ISNUMBER(Lançamentos!A49),Lançamentos!A49,"")</f>
        <v/>
      </c>
      <c r="B49" s="1" t="str">
        <f>IF(Lançamentos!B49="","",Lançamentos!B49)</f>
        <v/>
      </c>
      <c r="C49" s="12" t="str">
        <f>IF(ISNUMBER(Lançamentos!C49),Lançamentos!C49,"")</f>
        <v/>
      </c>
      <c r="D49" s="10" t="str">
        <f>IF(A49="","",SUM(Lançamentos!D$9:D49))</f>
        <v/>
      </c>
      <c r="E49" s="1"/>
      <c r="F49" s="11" t="str">
        <f>IF(A49="","",SUM(Lançamentos!F$9:F49))</f>
        <v/>
      </c>
      <c r="G49" s="11" t="str">
        <f>IF(A49="","",SUM(Lançamentos!G$9:G49))</f>
        <v/>
      </c>
      <c r="H49" s="11" t="str">
        <f>IF(A49="","",SUM(Lançamentos!H$9:H49))</f>
        <v/>
      </c>
      <c r="I49" s="12" t="str">
        <f>IF(A49="","",SUM(Lançamentos!C$9:C49))</f>
        <v/>
      </c>
      <c r="J49" s="13" t="str">
        <f>IF(Lançamentos!J49="","",Lançamentos!J49)</f>
        <v/>
      </c>
    </row>
    <row r="50" spans="1:10" ht="23.1" customHeight="1">
      <c r="A50" s="1" t="str">
        <f>IF(ISNUMBER(Lançamentos!A50),Lançamentos!A50,"")</f>
        <v/>
      </c>
      <c r="B50" s="1" t="str">
        <f>IF(Lançamentos!B50="","",Lançamentos!B50)</f>
        <v/>
      </c>
      <c r="C50" s="12" t="str">
        <f>IF(ISNUMBER(Lançamentos!C50),Lançamentos!C50,"")</f>
        <v/>
      </c>
      <c r="D50" s="10" t="str">
        <f>IF(A50="","",SUM(Lançamentos!D$9:D50))</f>
        <v/>
      </c>
      <c r="E50" s="1"/>
      <c r="F50" s="11" t="str">
        <f>IF(A50="","",SUM(Lançamentos!F$9:F50))</f>
        <v/>
      </c>
      <c r="G50" s="11" t="str">
        <f>IF(A50="","",SUM(Lançamentos!G$9:G50))</f>
        <v/>
      </c>
      <c r="H50" s="11" t="str">
        <f>IF(A50="","",SUM(Lançamentos!H$9:H50))</f>
        <v/>
      </c>
      <c r="I50" s="12" t="str">
        <f>IF(A50="","",SUM(Lançamentos!C$9:C50))</f>
        <v/>
      </c>
      <c r="J50" s="13" t="str">
        <f>IF(Lançamentos!J50="","",Lançamentos!J50)</f>
        <v/>
      </c>
    </row>
    <row r="51" spans="1:10" ht="23.1" customHeight="1">
      <c r="A51" s="1" t="str">
        <f>IF(ISNUMBER(Lançamentos!A51),Lançamentos!A51,"")</f>
        <v/>
      </c>
      <c r="B51" s="1" t="str">
        <f>IF(Lançamentos!B51="","",Lançamentos!B51)</f>
        <v/>
      </c>
      <c r="C51" s="12" t="str">
        <f>IF(ISNUMBER(Lançamentos!C51),Lançamentos!C51,"")</f>
        <v/>
      </c>
      <c r="D51" s="10" t="str">
        <f>IF(A51="","",SUM(Lançamentos!D$9:D51))</f>
        <v/>
      </c>
      <c r="E51" s="1"/>
      <c r="F51" s="11" t="str">
        <f>IF(A51="","",SUM(Lançamentos!F$9:F51))</f>
        <v/>
      </c>
      <c r="G51" s="11" t="str">
        <f>IF(A51="","",SUM(Lançamentos!G$9:G51))</f>
        <v/>
      </c>
      <c r="H51" s="11" t="str">
        <f>IF(A51="","",SUM(Lançamentos!H$9:H51))</f>
        <v/>
      </c>
      <c r="I51" s="12" t="str">
        <f>IF(A51="","",SUM(Lançamentos!C$9:C51))</f>
        <v/>
      </c>
      <c r="J51" s="13" t="str">
        <f>IF(Lançamentos!J51="","",Lançamentos!J51)</f>
        <v/>
      </c>
    </row>
    <row r="52" spans="1:10" ht="23.1" customHeight="1">
      <c r="A52" s="1" t="str">
        <f>IF(ISNUMBER(Lançamentos!A52),Lançamentos!A52,"")</f>
        <v/>
      </c>
      <c r="B52" s="1" t="str">
        <f>IF(Lançamentos!B52="","",Lançamentos!B52)</f>
        <v/>
      </c>
      <c r="C52" s="12" t="str">
        <f>IF(ISNUMBER(Lançamentos!C52),Lançamentos!C52,"")</f>
        <v/>
      </c>
      <c r="D52" s="10" t="str">
        <f>IF(A52="","",SUM(Lançamentos!D$9:D52))</f>
        <v/>
      </c>
      <c r="E52" s="1"/>
      <c r="F52" s="11" t="str">
        <f>IF(A52="","",SUM(Lançamentos!F$9:F52))</f>
        <v/>
      </c>
      <c r="G52" s="11" t="str">
        <f>IF(A52="","",SUM(Lançamentos!G$9:G52))</f>
        <v/>
      </c>
      <c r="H52" s="11" t="str">
        <f>IF(A52="","",SUM(Lançamentos!H$9:H52))</f>
        <v/>
      </c>
      <c r="I52" s="12" t="str">
        <f>IF(A52="","",SUM(Lançamentos!C$9:C52))</f>
        <v/>
      </c>
      <c r="J52" s="13" t="str">
        <f>IF(Lançamentos!J52="","",Lançamentos!J52)</f>
        <v/>
      </c>
    </row>
    <row r="53" spans="1:10" ht="23.1" customHeight="1">
      <c r="A53" s="1" t="str">
        <f>IF(ISNUMBER(Lançamentos!A53),Lançamentos!A53,"")</f>
        <v/>
      </c>
      <c r="B53" s="1" t="str">
        <f>IF(Lançamentos!B53="","",Lançamentos!B53)</f>
        <v/>
      </c>
      <c r="C53" s="12" t="str">
        <f>IF(ISNUMBER(Lançamentos!C53),Lançamentos!C53,"")</f>
        <v/>
      </c>
      <c r="D53" s="10" t="str">
        <f>IF(A53="","",SUM(Lançamentos!D$9:D53))</f>
        <v/>
      </c>
      <c r="E53" s="1"/>
      <c r="F53" s="11" t="str">
        <f>IF(A53="","",SUM(Lançamentos!F$9:F53))</f>
        <v/>
      </c>
      <c r="G53" s="11" t="str">
        <f>IF(A53="","",SUM(Lançamentos!G$9:G53))</f>
        <v/>
      </c>
      <c r="H53" s="11" t="str">
        <f>IF(A53="","",SUM(Lançamentos!H$9:H53))</f>
        <v/>
      </c>
      <c r="I53" s="12" t="str">
        <f>IF(A53="","",SUM(Lançamentos!C$9:C53))</f>
        <v/>
      </c>
      <c r="J53" s="13" t="str">
        <f>IF(Lançamentos!J53="","",Lançamentos!J53)</f>
        <v/>
      </c>
    </row>
    <row r="54" spans="1:10" ht="23.1" customHeight="1">
      <c r="A54" s="1" t="str">
        <f>IF(ISNUMBER(Lançamentos!A54),Lançamentos!A54,"")</f>
        <v/>
      </c>
      <c r="B54" s="1" t="str">
        <f>IF(Lançamentos!B54="","",Lançamentos!B54)</f>
        <v/>
      </c>
      <c r="C54" s="12" t="str">
        <f>IF(ISNUMBER(Lançamentos!C54),Lançamentos!C54,"")</f>
        <v/>
      </c>
      <c r="D54" s="10" t="str">
        <f>IF(A54="","",SUM(Lançamentos!D$9:D54))</f>
        <v/>
      </c>
      <c r="E54" s="1"/>
      <c r="F54" s="11" t="str">
        <f>IF(A54="","",SUM(Lançamentos!F$9:F54))</f>
        <v/>
      </c>
      <c r="G54" s="11" t="str">
        <f>IF(A54="","",SUM(Lançamentos!G$9:G54))</f>
        <v/>
      </c>
      <c r="H54" s="11" t="str">
        <f>IF(A54="","",SUM(Lançamentos!H$9:H54))</f>
        <v/>
      </c>
      <c r="I54" s="12" t="str">
        <f>IF(A54="","",SUM(Lançamentos!C$9:C54))</f>
        <v/>
      </c>
      <c r="J54" s="13" t="str">
        <f>IF(Lançamentos!J54="","",Lançamentos!J54)</f>
        <v/>
      </c>
    </row>
    <row r="55" spans="1:10" ht="23.1" customHeight="1">
      <c r="A55" s="1" t="str">
        <f>IF(ISNUMBER(Lançamentos!A55),Lançamentos!A55,"")</f>
        <v/>
      </c>
      <c r="B55" s="1" t="str">
        <f>IF(Lançamentos!B55="","",Lançamentos!B55)</f>
        <v/>
      </c>
      <c r="C55" s="12" t="str">
        <f>IF(ISNUMBER(Lançamentos!C55),Lançamentos!C55,"")</f>
        <v/>
      </c>
      <c r="D55" s="10" t="str">
        <f>IF(A55="","",SUM(Lançamentos!D$9:D55))</f>
        <v/>
      </c>
      <c r="E55" s="1"/>
      <c r="F55" s="11" t="str">
        <f>IF(A55="","",SUM(Lançamentos!F$9:F55))</f>
        <v/>
      </c>
      <c r="G55" s="11" t="str">
        <f>IF(A55="","",SUM(Lançamentos!G$9:G55))</f>
        <v/>
      </c>
      <c r="H55" s="11" t="str">
        <f>IF(A55="","",SUM(Lançamentos!H$9:H55))</f>
        <v/>
      </c>
      <c r="I55" s="12" t="str">
        <f>IF(A55="","",SUM(Lançamentos!C$9:C55))</f>
        <v/>
      </c>
      <c r="J55" s="13" t="str">
        <f>IF(Lançamentos!J55="","",Lançamentos!J55)</f>
        <v/>
      </c>
    </row>
    <row r="56" spans="1:10" ht="23.1" customHeight="1">
      <c r="A56" s="1" t="str">
        <f>IF(ISNUMBER(Lançamentos!A56),Lançamentos!A56,"")</f>
        <v/>
      </c>
      <c r="B56" s="1" t="str">
        <f>IF(Lançamentos!B56="","",Lançamentos!B56)</f>
        <v/>
      </c>
      <c r="C56" s="12" t="str">
        <f>IF(ISNUMBER(Lançamentos!C56),Lançamentos!C56,"")</f>
        <v/>
      </c>
      <c r="D56" s="10" t="str">
        <f>IF(A56="","",SUM(Lançamentos!D$9:D56))</f>
        <v/>
      </c>
      <c r="E56" s="1"/>
      <c r="F56" s="11" t="str">
        <f>IF(A56="","",SUM(Lançamentos!F$9:F56))</f>
        <v/>
      </c>
      <c r="G56" s="11" t="str">
        <f>IF(A56="","",SUM(Lançamentos!G$9:G56))</f>
        <v/>
      </c>
      <c r="H56" s="11" t="str">
        <f>IF(A56="","",SUM(Lançamentos!H$9:H56))</f>
        <v/>
      </c>
      <c r="I56" s="12" t="str">
        <f>IF(A56="","",SUM(Lançamentos!C$9:C56))</f>
        <v/>
      </c>
      <c r="J56" s="13" t="str">
        <f>IF(Lançamentos!J56="","",Lançamentos!J56)</f>
        <v/>
      </c>
    </row>
    <row r="57" spans="1:10" ht="23.1" customHeight="1">
      <c r="A57" s="1" t="str">
        <f>IF(ISNUMBER(Lançamentos!A57),Lançamentos!A57,"")</f>
        <v/>
      </c>
      <c r="B57" s="1" t="str">
        <f>IF(Lançamentos!B57="","",Lançamentos!B57)</f>
        <v/>
      </c>
      <c r="C57" s="12" t="str">
        <f>IF(ISNUMBER(Lançamentos!C57),Lançamentos!C57,"")</f>
        <v/>
      </c>
      <c r="D57" s="10" t="str">
        <f>IF(A57="","",SUM(Lançamentos!D$9:D57))</f>
        <v/>
      </c>
      <c r="E57" s="1"/>
      <c r="F57" s="11" t="str">
        <f>IF(A57="","",SUM(Lançamentos!F$9:F57))</f>
        <v/>
      </c>
      <c r="G57" s="11" t="str">
        <f>IF(A57="","",SUM(Lançamentos!G$9:G57))</f>
        <v/>
      </c>
      <c r="H57" s="11" t="str">
        <f>IF(A57="","",SUM(Lançamentos!H$9:H57))</f>
        <v/>
      </c>
      <c r="I57" s="12" t="str">
        <f>IF(A57="","",SUM(Lançamentos!C$9:C57))</f>
        <v/>
      </c>
      <c r="J57" s="13" t="str">
        <f>IF(Lançamentos!J57="","",Lançamentos!J57)</f>
        <v/>
      </c>
    </row>
    <row r="58" spans="1:10" ht="23.1" customHeight="1">
      <c r="A58" s="1" t="str">
        <f>IF(ISNUMBER(Lançamentos!A58),Lançamentos!A58,"")</f>
        <v/>
      </c>
      <c r="B58" s="1" t="str">
        <f>IF(Lançamentos!B58="","",Lançamentos!B58)</f>
        <v/>
      </c>
      <c r="C58" s="12" t="str">
        <f>IF(ISNUMBER(Lançamentos!C58),Lançamentos!C58,"")</f>
        <v/>
      </c>
      <c r="D58" s="10" t="str">
        <f>IF(A58="","",SUM(Lançamentos!D$9:D58))</f>
        <v/>
      </c>
      <c r="E58" s="1"/>
      <c r="F58" s="11" t="str">
        <f>IF(A58="","",SUM(Lançamentos!F$9:F58))</f>
        <v/>
      </c>
      <c r="G58" s="11" t="str">
        <f>IF(A58="","",SUM(Lançamentos!G$9:G58))</f>
        <v/>
      </c>
      <c r="H58" s="11" t="str">
        <f>IF(A58="","",SUM(Lançamentos!H$9:H58))</f>
        <v/>
      </c>
      <c r="I58" s="12" t="str">
        <f>IF(A58="","",SUM(Lançamentos!C$9:C58))</f>
        <v/>
      </c>
      <c r="J58" s="13" t="str">
        <f>IF(Lançamentos!J58="","",Lançamentos!J58)</f>
        <v/>
      </c>
    </row>
    <row r="59" spans="1:10" ht="23.1" customHeight="1">
      <c r="A59" s="1" t="str">
        <f>IF(ISNUMBER(Lançamentos!A59),Lançamentos!A59,"")</f>
        <v/>
      </c>
      <c r="B59" s="1" t="str">
        <f>IF(Lançamentos!B59="","",Lançamentos!B59)</f>
        <v/>
      </c>
      <c r="C59" s="12" t="str">
        <f>IF(ISNUMBER(Lançamentos!C59),Lançamentos!C59,"")</f>
        <v/>
      </c>
      <c r="D59" s="10" t="str">
        <f>IF(A59="","",SUM(Lançamentos!D$9:D59))</f>
        <v/>
      </c>
      <c r="E59" s="1"/>
      <c r="F59" s="11" t="str">
        <f>IF(A59="","",SUM(Lançamentos!F$9:F59))</f>
        <v/>
      </c>
      <c r="G59" s="11" t="str">
        <f>IF(A59="","",SUM(Lançamentos!G$9:G59))</f>
        <v/>
      </c>
      <c r="H59" s="11" t="str">
        <f>IF(A59="","",SUM(Lançamentos!H$9:H59))</f>
        <v/>
      </c>
      <c r="I59" s="12" t="str">
        <f>IF(A59="","",SUM(Lançamentos!C$9:C59))</f>
        <v/>
      </c>
      <c r="J59" s="13" t="str">
        <f>IF(Lançamentos!J59="","",Lançamentos!J59)</f>
        <v/>
      </c>
    </row>
    <row r="60" spans="1:10" ht="23.1" customHeight="1">
      <c r="A60" s="1" t="str">
        <f>IF(ISNUMBER(Lançamentos!A60),Lançamentos!A60,"")</f>
        <v/>
      </c>
      <c r="B60" s="1" t="str">
        <f>IF(Lançamentos!B60="","",Lançamentos!B60)</f>
        <v/>
      </c>
      <c r="C60" s="12" t="str">
        <f>IF(ISNUMBER(Lançamentos!C60),Lançamentos!C60,"")</f>
        <v/>
      </c>
      <c r="D60" s="10" t="str">
        <f>IF(A60="","",SUM(Lançamentos!D$9:D60))</f>
        <v/>
      </c>
      <c r="E60" s="1"/>
      <c r="F60" s="11" t="str">
        <f>IF(A60="","",SUM(Lançamentos!F$9:F60))</f>
        <v/>
      </c>
      <c r="G60" s="11" t="str">
        <f>IF(A60="","",SUM(Lançamentos!G$9:G60))</f>
        <v/>
      </c>
      <c r="H60" s="11" t="str">
        <f>IF(A60="","",SUM(Lançamentos!H$9:H60))</f>
        <v/>
      </c>
      <c r="I60" s="12" t="str">
        <f>IF(A60="","",SUM(Lançamentos!C$9:C60))</f>
        <v/>
      </c>
      <c r="J60" s="13" t="str">
        <f>IF(Lançamentos!J60="","",Lançamentos!J60)</f>
        <v/>
      </c>
    </row>
    <row r="61" spans="1:10" ht="23.1" customHeight="1">
      <c r="A61" s="1" t="str">
        <f>IF(ISNUMBER(Lançamentos!A61),Lançamentos!A61,"")</f>
        <v/>
      </c>
      <c r="B61" s="1" t="str">
        <f>IF(Lançamentos!B61="","",Lançamentos!B61)</f>
        <v/>
      </c>
      <c r="C61" s="12" t="str">
        <f>IF(ISNUMBER(Lançamentos!C61),Lançamentos!C61,"")</f>
        <v/>
      </c>
      <c r="D61" s="10" t="str">
        <f>IF(A61="","",SUM(Lançamentos!D$9:D61))</f>
        <v/>
      </c>
      <c r="E61" s="1"/>
      <c r="F61" s="11" t="str">
        <f>IF(A61="","",SUM(Lançamentos!F$9:F61))</f>
        <v/>
      </c>
      <c r="G61" s="11" t="str">
        <f>IF(A61="","",SUM(Lançamentos!G$9:G61))</f>
        <v/>
      </c>
      <c r="H61" s="11" t="str">
        <f>IF(A61="","",SUM(Lançamentos!H$9:H61))</f>
        <v/>
      </c>
      <c r="I61" s="12" t="str">
        <f>IF(A61="","",SUM(Lançamentos!C$9:C61))</f>
        <v/>
      </c>
      <c r="J61" s="13" t="str">
        <f>IF(Lançamentos!J61="","",Lançamentos!J61)</f>
        <v/>
      </c>
    </row>
    <row r="62" spans="1:10" ht="23.1" customHeight="1">
      <c r="A62" s="1" t="str">
        <f>IF(ISNUMBER(Lançamentos!A62),Lançamentos!A62,"")</f>
        <v/>
      </c>
      <c r="B62" s="1" t="str">
        <f>IF(Lançamentos!B62="","",Lançamentos!B62)</f>
        <v/>
      </c>
      <c r="C62" s="12" t="str">
        <f>IF(ISNUMBER(Lançamentos!C62),Lançamentos!C62,"")</f>
        <v/>
      </c>
      <c r="D62" s="10" t="str">
        <f>IF(A62="","",SUM(Lançamentos!D$9:D62))</f>
        <v/>
      </c>
      <c r="E62" s="1"/>
      <c r="F62" s="11" t="str">
        <f>IF(A62="","",SUM(Lançamentos!F$9:F62))</f>
        <v/>
      </c>
      <c r="G62" s="11" t="str">
        <f>IF(A62="","",SUM(Lançamentos!G$9:G62))</f>
        <v/>
      </c>
      <c r="H62" s="11" t="str">
        <f>IF(A62="","",SUM(Lançamentos!H$9:H62))</f>
        <v/>
      </c>
      <c r="I62" s="12" t="str">
        <f>IF(A62="","",SUM(Lançamentos!C$9:C62))</f>
        <v/>
      </c>
      <c r="J62" s="13" t="str">
        <f>IF(Lançamentos!J62="","",Lançamentos!J62)</f>
        <v/>
      </c>
    </row>
    <row r="63" spans="1:10" ht="23.1" customHeight="1">
      <c r="A63" s="1" t="str">
        <f>IF(ISNUMBER(Lançamentos!A63),Lançamentos!A63,"")</f>
        <v/>
      </c>
      <c r="B63" s="1" t="str">
        <f>IF(Lançamentos!B63="","",Lançamentos!B63)</f>
        <v/>
      </c>
      <c r="C63" s="12" t="str">
        <f>IF(ISNUMBER(Lançamentos!C63),Lançamentos!C63,"")</f>
        <v/>
      </c>
      <c r="D63" s="10" t="str">
        <f>IF(A63="","",SUM(Lançamentos!D$9:D63))</f>
        <v/>
      </c>
      <c r="E63" s="1"/>
      <c r="F63" s="11" t="str">
        <f>IF(A63="","",SUM(Lançamentos!F$9:F63))</f>
        <v/>
      </c>
      <c r="G63" s="11" t="str">
        <f>IF(A63="","",SUM(Lançamentos!G$9:G63))</f>
        <v/>
      </c>
      <c r="H63" s="11" t="str">
        <f>IF(A63="","",SUM(Lançamentos!H$9:H63))</f>
        <v/>
      </c>
      <c r="I63" s="12" t="str">
        <f>IF(A63="","",SUM(Lançamentos!C$9:C63))</f>
        <v/>
      </c>
      <c r="J63" s="13" t="str">
        <f>IF(Lançamentos!J63="","",Lançamentos!J63)</f>
        <v/>
      </c>
    </row>
    <row r="64" spans="1:10" ht="23.1" customHeight="1">
      <c r="A64" s="1" t="str">
        <f>IF(ISNUMBER(Lançamentos!A64),Lançamentos!A64,"")</f>
        <v/>
      </c>
      <c r="B64" s="1" t="str">
        <f>IF(Lançamentos!B64="","",Lançamentos!B64)</f>
        <v/>
      </c>
      <c r="C64" s="12" t="str">
        <f>IF(ISNUMBER(Lançamentos!C64),Lançamentos!C64,"")</f>
        <v/>
      </c>
      <c r="D64" s="10" t="str">
        <f>IF(A64="","",SUM(Lançamentos!D$9:D64))</f>
        <v/>
      </c>
      <c r="E64" s="1"/>
      <c r="F64" s="11" t="str">
        <f>IF(A64="","",SUM(Lançamentos!F$9:F64))</f>
        <v/>
      </c>
      <c r="G64" s="11" t="str">
        <f>IF(A64="","",SUM(Lançamentos!G$9:G64))</f>
        <v/>
      </c>
      <c r="H64" s="11" t="str">
        <f>IF(A64="","",SUM(Lançamentos!H$9:H64))</f>
        <v/>
      </c>
      <c r="I64" s="12" t="str">
        <f>IF(A64="","",SUM(Lançamentos!C$9:C64))</f>
        <v/>
      </c>
      <c r="J64" s="13" t="str">
        <f>IF(Lançamentos!J64="","",Lançamentos!J64)</f>
        <v/>
      </c>
    </row>
    <row r="65" spans="1:10" ht="23.1" customHeight="1">
      <c r="A65" s="1" t="str">
        <f>IF(ISNUMBER(Lançamentos!A65),Lançamentos!A65,"")</f>
        <v/>
      </c>
      <c r="B65" s="1" t="str">
        <f>IF(Lançamentos!B65="","",Lançamentos!B65)</f>
        <v/>
      </c>
      <c r="C65" s="12" t="str">
        <f>IF(ISNUMBER(Lançamentos!C65),Lançamentos!C65,"")</f>
        <v/>
      </c>
      <c r="D65" s="10" t="str">
        <f>IF(A65="","",SUM(Lançamentos!D$9:D65))</f>
        <v/>
      </c>
      <c r="E65" s="1"/>
      <c r="F65" s="11" t="str">
        <f>IF(A65="","",SUM(Lançamentos!F$9:F65))</f>
        <v/>
      </c>
      <c r="G65" s="11" t="str">
        <f>IF(A65="","",SUM(Lançamentos!G$9:G65))</f>
        <v/>
      </c>
      <c r="H65" s="11" t="str">
        <f>IF(A65="","",SUM(Lançamentos!H$9:H65))</f>
        <v/>
      </c>
      <c r="I65" s="12" t="str">
        <f>IF(A65="","",SUM(Lançamentos!C$9:C65))</f>
        <v/>
      </c>
      <c r="J65" s="13" t="str">
        <f>IF(Lançamentos!J65="","",Lançamentos!J65)</f>
        <v/>
      </c>
    </row>
    <row r="66" spans="1:10" ht="23.1" customHeight="1">
      <c r="A66" s="1" t="str">
        <f>IF(ISNUMBER(Lançamentos!A66),Lançamentos!A66,"")</f>
        <v/>
      </c>
      <c r="B66" s="1" t="str">
        <f>IF(Lançamentos!B66="","",Lançamentos!B66)</f>
        <v/>
      </c>
      <c r="C66" s="12" t="str">
        <f>IF(ISNUMBER(Lançamentos!C66),Lançamentos!C66,"")</f>
        <v/>
      </c>
      <c r="D66" s="10" t="str">
        <f>IF(A66="","",SUM(Lançamentos!D$9:D66))</f>
        <v/>
      </c>
      <c r="E66" s="1"/>
      <c r="F66" s="11" t="str">
        <f>IF(A66="","",SUM(Lançamentos!F$9:F66))</f>
        <v/>
      </c>
      <c r="G66" s="11" t="str">
        <f>IF(A66="","",SUM(Lançamentos!G$9:G66))</f>
        <v/>
      </c>
      <c r="H66" s="11" t="str">
        <f>IF(A66="","",SUM(Lançamentos!H$9:H66))</f>
        <v/>
      </c>
      <c r="I66" s="12" t="str">
        <f>IF(A66="","",SUM(Lançamentos!C$9:C66))</f>
        <v/>
      </c>
      <c r="J66" s="13" t="str">
        <f>IF(Lançamentos!J66="","",Lançamentos!J66)</f>
        <v/>
      </c>
    </row>
    <row r="67" spans="1:10" ht="23.1" customHeight="1">
      <c r="A67" s="1" t="str">
        <f>IF(ISNUMBER(Lançamentos!A67),Lançamentos!A67,"")</f>
        <v/>
      </c>
      <c r="B67" s="1" t="str">
        <f>IF(Lançamentos!B67="","",Lançamentos!B67)</f>
        <v/>
      </c>
      <c r="C67" s="12" t="str">
        <f>IF(ISNUMBER(Lançamentos!C67),Lançamentos!C67,"")</f>
        <v/>
      </c>
      <c r="D67" s="10" t="str">
        <f>IF(A67="","",SUM(Lançamentos!D$9:D67))</f>
        <v/>
      </c>
      <c r="E67" s="1"/>
      <c r="F67" s="11" t="str">
        <f>IF(A67="","",SUM(Lançamentos!F$9:F67))</f>
        <v/>
      </c>
      <c r="G67" s="11" t="str">
        <f>IF(A67="","",SUM(Lançamentos!G$9:G67))</f>
        <v/>
      </c>
      <c r="H67" s="11" t="str">
        <f>IF(A67="","",SUM(Lançamentos!H$9:H67))</f>
        <v/>
      </c>
      <c r="I67" s="12" t="str">
        <f>IF(A67="","",SUM(Lançamentos!C$9:C67))</f>
        <v/>
      </c>
      <c r="J67" s="13" t="str">
        <f>IF(Lançamentos!J67="","",Lançamentos!J67)</f>
        <v/>
      </c>
    </row>
    <row r="68" spans="1:10" ht="23.1" customHeight="1">
      <c r="A68" s="1" t="str">
        <f>IF(ISNUMBER(Lançamentos!A68),Lançamentos!A68,"")</f>
        <v/>
      </c>
      <c r="B68" s="1" t="str">
        <f>IF(Lançamentos!B68="","",Lançamentos!B68)</f>
        <v/>
      </c>
      <c r="C68" s="12" t="str">
        <f>IF(ISNUMBER(Lançamentos!C68),Lançamentos!C68,"")</f>
        <v/>
      </c>
      <c r="D68" s="10" t="str">
        <f>IF(A68="","",SUM(Lançamentos!D$9:D68))</f>
        <v/>
      </c>
      <c r="E68" s="1"/>
      <c r="F68" s="11" t="str">
        <f>IF(A68="","",SUM(Lançamentos!F$9:F68))</f>
        <v/>
      </c>
      <c r="G68" s="11" t="str">
        <f>IF(A68="","",SUM(Lançamentos!G$9:G68))</f>
        <v/>
      </c>
      <c r="H68" s="11" t="str">
        <f>IF(A68="","",SUM(Lançamentos!H$9:H68))</f>
        <v/>
      </c>
      <c r="I68" s="12" t="str">
        <f>IF(A68="","",SUM(Lançamentos!C$9:C68))</f>
        <v/>
      </c>
      <c r="J68" s="13" t="str">
        <f>IF(Lançamentos!J68="","",Lançamentos!J68)</f>
        <v/>
      </c>
    </row>
    <row r="69" spans="1:10" ht="23.1" customHeight="1">
      <c r="A69" s="1" t="str">
        <f>IF(ISNUMBER(Lançamentos!A69),Lançamentos!A69,"")</f>
        <v/>
      </c>
      <c r="B69" s="1" t="str">
        <f>IF(Lançamentos!B69="","",Lançamentos!B69)</f>
        <v/>
      </c>
      <c r="C69" s="12" t="str">
        <f>IF(ISNUMBER(Lançamentos!C69),Lançamentos!C69,"")</f>
        <v/>
      </c>
      <c r="D69" s="10" t="str">
        <f>IF(A69="","",SUM(Lançamentos!D$9:D69))</f>
        <v/>
      </c>
      <c r="E69" s="1"/>
      <c r="F69" s="11" t="str">
        <f>IF(A69="","",SUM(Lançamentos!F$9:F69))</f>
        <v/>
      </c>
      <c r="G69" s="11" t="str">
        <f>IF(A69="","",SUM(Lançamentos!G$9:G69))</f>
        <v/>
      </c>
      <c r="H69" s="11" t="str">
        <f>IF(A69="","",SUM(Lançamentos!H$9:H69))</f>
        <v/>
      </c>
      <c r="I69" s="12" t="str">
        <f>IF(A69="","",SUM(Lançamentos!C$9:C69))</f>
        <v/>
      </c>
      <c r="J69" s="13" t="str">
        <f>IF(Lançamentos!J69="","",Lançamentos!J69)</f>
        <v/>
      </c>
    </row>
    <row r="70" spans="1:10" ht="23.1" customHeight="1">
      <c r="A70" s="1" t="str">
        <f>IF(ISNUMBER(Lançamentos!A70),Lançamentos!A70,"")</f>
        <v/>
      </c>
      <c r="B70" s="1" t="str">
        <f>IF(Lançamentos!B70="","",Lançamentos!B70)</f>
        <v/>
      </c>
      <c r="C70" s="12" t="str">
        <f>IF(ISNUMBER(Lançamentos!C70),Lançamentos!C70,"")</f>
        <v/>
      </c>
      <c r="D70" s="10" t="str">
        <f>IF(A70="","",SUM(Lançamentos!D$9:D70))</f>
        <v/>
      </c>
      <c r="E70" s="1"/>
      <c r="F70" s="11" t="str">
        <f>IF(A70="","",SUM(Lançamentos!F$9:F70))</f>
        <v/>
      </c>
      <c r="G70" s="11" t="str">
        <f>IF(A70="","",SUM(Lançamentos!G$9:G70))</f>
        <v/>
      </c>
      <c r="H70" s="11" t="str">
        <f>IF(A70="","",SUM(Lançamentos!H$9:H70))</f>
        <v/>
      </c>
      <c r="I70" s="12" t="str">
        <f>IF(A70="","",SUM(Lançamentos!C$9:C70))</f>
        <v/>
      </c>
      <c r="J70" s="13" t="str">
        <f>IF(Lançamentos!J70="","",Lançamentos!J70)</f>
        <v/>
      </c>
    </row>
    <row r="71" spans="1:10" ht="23.1" customHeight="1">
      <c r="A71" s="1" t="str">
        <f>IF(ISNUMBER(Lançamentos!A71),Lançamentos!A71,"")</f>
        <v/>
      </c>
      <c r="B71" s="1" t="str">
        <f>IF(Lançamentos!B71="","",Lançamentos!B71)</f>
        <v/>
      </c>
      <c r="C71" s="12" t="str">
        <f>IF(ISNUMBER(Lançamentos!C71),Lançamentos!C71,"")</f>
        <v/>
      </c>
      <c r="D71" s="10" t="str">
        <f>IF(A71="","",SUM(Lançamentos!D$9:D71))</f>
        <v/>
      </c>
      <c r="E71" s="1"/>
      <c r="F71" s="11" t="str">
        <f>IF(A71="","",SUM(Lançamentos!F$9:F71))</f>
        <v/>
      </c>
      <c r="G71" s="11" t="str">
        <f>IF(A71="","",SUM(Lançamentos!G$9:G71))</f>
        <v/>
      </c>
      <c r="H71" s="11" t="str">
        <f>IF(A71="","",SUM(Lançamentos!H$9:H71))</f>
        <v/>
      </c>
      <c r="I71" s="12" t="str">
        <f>IF(A71="","",SUM(Lançamentos!C$9:C71))</f>
        <v/>
      </c>
      <c r="J71" s="13" t="str">
        <f>IF(Lançamentos!J71="","",Lançamentos!J71)</f>
        <v/>
      </c>
    </row>
    <row r="72" spans="1:10" ht="23.1" customHeight="1">
      <c r="A72" s="1" t="str">
        <f>IF(ISNUMBER(Lançamentos!A72),Lançamentos!A72,"")</f>
        <v/>
      </c>
      <c r="B72" s="1" t="str">
        <f>IF(Lançamentos!B72="","",Lançamentos!B72)</f>
        <v/>
      </c>
      <c r="C72" s="12" t="str">
        <f>IF(ISNUMBER(Lançamentos!C72),Lançamentos!C72,"")</f>
        <v/>
      </c>
      <c r="D72" s="10" t="str">
        <f>IF(A72="","",SUM(Lançamentos!D$9:D72))</f>
        <v/>
      </c>
      <c r="E72" s="1"/>
      <c r="F72" s="11" t="str">
        <f>IF(A72="","",SUM(Lançamentos!F$9:F72))</f>
        <v/>
      </c>
      <c r="G72" s="11" t="str">
        <f>IF(A72="","",SUM(Lançamentos!G$9:G72))</f>
        <v/>
      </c>
      <c r="H72" s="11" t="str">
        <f>IF(A72="","",SUM(Lançamentos!H$9:H72))</f>
        <v/>
      </c>
      <c r="I72" s="12" t="str">
        <f>IF(A72="","",SUM(Lançamentos!C$9:C72))</f>
        <v/>
      </c>
      <c r="J72" s="13" t="str">
        <f>IF(Lançamentos!J72="","",Lançamentos!J72)</f>
        <v/>
      </c>
    </row>
    <row r="73" spans="1:10" ht="23.1" customHeight="1">
      <c r="A73" s="1" t="str">
        <f>IF(ISNUMBER(Lançamentos!A73),Lançamentos!A73,"")</f>
        <v/>
      </c>
      <c r="B73" s="1" t="str">
        <f>IF(Lançamentos!B73="","",Lançamentos!B73)</f>
        <v/>
      </c>
      <c r="C73" s="12" t="str">
        <f>IF(ISNUMBER(Lançamentos!C73),Lançamentos!C73,"")</f>
        <v/>
      </c>
      <c r="D73" s="10" t="str">
        <f>IF(A73="","",SUM(Lançamentos!D$9:D73))</f>
        <v/>
      </c>
      <c r="E73" s="1"/>
      <c r="F73" s="11" t="str">
        <f>IF(A73="","",SUM(Lançamentos!F$9:F73))</f>
        <v/>
      </c>
      <c r="G73" s="11" t="str">
        <f>IF(A73="","",SUM(Lançamentos!G$9:G73))</f>
        <v/>
      </c>
      <c r="H73" s="11" t="str">
        <f>IF(A73="","",SUM(Lançamentos!H$9:H73))</f>
        <v/>
      </c>
      <c r="I73" s="12" t="str">
        <f>IF(A73="","",SUM(Lançamentos!C$9:C73))</f>
        <v/>
      </c>
      <c r="J73" s="13" t="str">
        <f>IF(Lançamentos!J73="","",Lançamentos!J73)</f>
        <v/>
      </c>
    </row>
    <row r="74" spans="1:10" ht="23.1" customHeight="1">
      <c r="A74" s="1" t="str">
        <f>IF(ISNUMBER(Lançamentos!A74),Lançamentos!A74,"")</f>
        <v/>
      </c>
      <c r="B74" s="1" t="str">
        <f>IF(Lançamentos!B74="","",Lançamentos!B74)</f>
        <v/>
      </c>
      <c r="C74" s="12" t="str">
        <f>IF(ISNUMBER(Lançamentos!C74),Lançamentos!C74,"")</f>
        <v/>
      </c>
      <c r="D74" s="10" t="str">
        <f>IF(A74="","",SUM(Lançamentos!D$9:D74))</f>
        <v/>
      </c>
      <c r="E74" s="1"/>
      <c r="F74" s="11" t="str">
        <f>IF(A74="","",SUM(Lançamentos!F$9:F74))</f>
        <v/>
      </c>
      <c r="G74" s="11" t="str">
        <f>IF(A74="","",SUM(Lançamentos!G$9:G74))</f>
        <v/>
      </c>
      <c r="H74" s="11" t="str">
        <f>IF(A74="","",SUM(Lançamentos!H$9:H74))</f>
        <v/>
      </c>
      <c r="I74" s="12" t="str">
        <f>IF(A74="","",SUM(Lançamentos!C$9:C74))</f>
        <v/>
      </c>
      <c r="J74" s="13" t="str">
        <f>IF(Lançamentos!J74="","",Lançamentos!J74)</f>
        <v/>
      </c>
    </row>
    <row r="75" spans="1:10" ht="23.1" customHeight="1">
      <c r="A75" s="1" t="str">
        <f>IF(ISNUMBER(Lançamentos!A75),Lançamentos!A75,"")</f>
        <v/>
      </c>
      <c r="B75" s="1" t="str">
        <f>IF(Lançamentos!B75="","",Lançamentos!B75)</f>
        <v/>
      </c>
      <c r="C75" s="12" t="str">
        <f>IF(ISNUMBER(Lançamentos!C75),Lançamentos!C75,"")</f>
        <v/>
      </c>
      <c r="D75" s="10" t="str">
        <f>IF(A75="","",SUM(Lançamentos!D$9:D75))</f>
        <v/>
      </c>
      <c r="E75" s="1"/>
      <c r="F75" s="11" t="str">
        <f>IF(A75="","",SUM(Lançamentos!F$9:F75))</f>
        <v/>
      </c>
      <c r="G75" s="11" t="str">
        <f>IF(A75="","",SUM(Lançamentos!G$9:G75))</f>
        <v/>
      </c>
      <c r="H75" s="11" t="str">
        <f>IF(A75="","",SUM(Lançamentos!H$9:H75))</f>
        <v/>
      </c>
      <c r="I75" s="12" t="str">
        <f>IF(A75="","",SUM(Lançamentos!C$9:C75))</f>
        <v/>
      </c>
      <c r="J75" s="13" t="str">
        <f>IF(Lançamentos!J75="","",Lançamentos!J75)</f>
        <v/>
      </c>
    </row>
    <row r="76" spans="1:10" ht="23.1" customHeight="1">
      <c r="A76" s="1" t="str">
        <f>IF(ISNUMBER(Lançamentos!A76),Lançamentos!A76,"")</f>
        <v/>
      </c>
      <c r="B76" s="1" t="str">
        <f>IF(Lançamentos!B76="","",Lançamentos!B76)</f>
        <v/>
      </c>
      <c r="C76" s="12" t="str">
        <f>IF(ISNUMBER(Lançamentos!C76),Lançamentos!C76,"")</f>
        <v/>
      </c>
      <c r="D76" s="10" t="str">
        <f>IF(A76="","",SUM(Lançamentos!D$9:D76))</f>
        <v/>
      </c>
      <c r="E76" s="1"/>
      <c r="F76" s="11" t="str">
        <f>IF(A76="","",SUM(Lançamentos!F$9:F76))</f>
        <v/>
      </c>
      <c r="G76" s="11" t="str">
        <f>IF(A76="","",SUM(Lançamentos!G$9:G76))</f>
        <v/>
      </c>
      <c r="H76" s="11" t="str">
        <f>IF(A76="","",SUM(Lançamentos!H$9:H76))</f>
        <v/>
      </c>
      <c r="I76" s="12" t="str">
        <f>IF(A76="","",SUM(Lançamentos!C$9:C76))</f>
        <v/>
      </c>
      <c r="J76" s="13" t="str">
        <f>IF(Lançamentos!J76="","",Lançamentos!J76)</f>
        <v/>
      </c>
    </row>
    <row r="77" spans="1:10" ht="23.1" customHeight="1">
      <c r="A77" s="1" t="str">
        <f>IF(ISNUMBER(Lançamentos!A77),Lançamentos!A77,"")</f>
        <v/>
      </c>
      <c r="B77" s="1" t="str">
        <f>IF(Lançamentos!B77="","",Lançamentos!B77)</f>
        <v/>
      </c>
      <c r="C77" s="12" t="str">
        <f>IF(ISNUMBER(Lançamentos!C77),Lançamentos!C77,"")</f>
        <v/>
      </c>
      <c r="D77" s="10" t="str">
        <f>IF(A77="","",SUM(Lançamentos!D$9:D77))</f>
        <v/>
      </c>
      <c r="E77" s="1"/>
      <c r="F77" s="11" t="str">
        <f>IF(A77="","",SUM(Lançamentos!F$9:F77))</f>
        <v/>
      </c>
      <c r="G77" s="11" t="str">
        <f>IF(A77="","",SUM(Lançamentos!G$9:G77))</f>
        <v/>
      </c>
      <c r="H77" s="11" t="str">
        <f>IF(A77="","",SUM(Lançamentos!H$9:H77))</f>
        <v/>
      </c>
      <c r="I77" s="12" t="str">
        <f>IF(A77="","",SUM(Lançamentos!C$9:C77))</f>
        <v/>
      </c>
      <c r="J77" s="13" t="str">
        <f>IF(Lançamentos!J77="","",Lançamentos!J77)</f>
        <v/>
      </c>
    </row>
    <row r="78" spans="1:10" ht="23.1" customHeight="1">
      <c r="A78" s="1" t="str">
        <f>IF(ISNUMBER(Lançamentos!A78),Lançamentos!A78,"")</f>
        <v/>
      </c>
      <c r="B78" s="1" t="str">
        <f>IF(Lançamentos!B78="","",Lançamentos!B78)</f>
        <v/>
      </c>
      <c r="C78" s="12" t="str">
        <f>IF(ISNUMBER(Lançamentos!C78),Lançamentos!C78,"")</f>
        <v/>
      </c>
      <c r="D78" s="10" t="str">
        <f>IF(A78="","",SUM(Lançamentos!D$9:D78))</f>
        <v/>
      </c>
      <c r="E78" s="1"/>
      <c r="F78" s="11" t="str">
        <f>IF(A78="","",SUM(Lançamentos!F$9:F78))</f>
        <v/>
      </c>
      <c r="G78" s="11" t="str">
        <f>IF(A78="","",SUM(Lançamentos!G$9:G78))</f>
        <v/>
      </c>
      <c r="H78" s="11" t="str">
        <f>IF(A78="","",SUM(Lançamentos!H$9:H78))</f>
        <v/>
      </c>
      <c r="I78" s="12" t="str">
        <f>IF(A78="","",SUM(Lançamentos!C$9:C78))</f>
        <v/>
      </c>
      <c r="J78" s="13" t="str">
        <f>IF(Lançamentos!J78="","",Lançamentos!J78)</f>
        <v/>
      </c>
    </row>
    <row r="79" spans="1:10" ht="23.1" customHeight="1">
      <c r="A79" s="1" t="str">
        <f>IF(ISNUMBER(Lançamentos!A79),Lançamentos!A79,"")</f>
        <v/>
      </c>
      <c r="B79" s="1" t="str">
        <f>IF(Lançamentos!B79="","",Lançamentos!B79)</f>
        <v/>
      </c>
      <c r="C79" s="12" t="str">
        <f>IF(ISNUMBER(Lançamentos!C79),Lançamentos!C79,"")</f>
        <v/>
      </c>
      <c r="D79" s="10" t="str">
        <f>IF(A79="","",SUM(Lançamentos!D$9:D79))</f>
        <v/>
      </c>
      <c r="E79" s="1"/>
      <c r="F79" s="11" t="str">
        <f>IF(A79="","",SUM(Lançamentos!F$9:F79))</f>
        <v/>
      </c>
      <c r="G79" s="11" t="str">
        <f>IF(A79="","",SUM(Lançamentos!G$9:G79))</f>
        <v/>
      </c>
      <c r="H79" s="11" t="str">
        <f>IF(A79="","",SUM(Lançamentos!H$9:H79))</f>
        <v/>
      </c>
      <c r="I79" s="12" t="str">
        <f>IF(A79="","",SUM(Lançamentos!C$9:C79))</f>
        <v/>
      </c>
      <c r="J79" s="13" t="str">
        <f>IF(Lançamentos!J79="","",Lançamentos!J79)</f>
        <v/>
      </c>
    </row>
    <row r="80" spans="1:10" ht="23.1" customHeight="1">
      <c r="A80" s="1" t="str">
        <f>IF(ISNUMBER(Lançamentos!A80),Lançamentos!A80,"")</f>
        <v/>
      </c>
      <c r="B80" s="1" t="str">
        <f>IF(Lançamentos!B80="","",Lançamentos!B80)</f>
        <v/>
      </c>
      <c r="C80" s="12" t="str">
        <f>IF(ISNUMBER(Lançamentos!C80),Lançamentos!C80,"")</f>
        <v/>
      </c>
      <c r="D80" s="10" t="str">
        <f>IF(A80="","",SUM(Lançamentos!D$9:D80))</f>
        <v/>
      </c>
      <c r="E80" s="1"/>
      <c r="F80" s="11" t="str">
        <f>IF(A80="","",SUM(Lançamentos!F$9:F80))</f>
        <v/>
      </c>
      <c r="G80" s="11" t="str">
        <f>IF(A80="","",SUM(Lançamentos!G$9:G80))</f>
        <v/>
      </c>
      <c r="H80" s="11" t="str">
        <f>IF(A80="","",SUM(Lançamentos!H$9:H80))</f>
        <v/>
      </c>
      <c r="I80" s="12" t="str">
        <f>IF(A80="","",SUM(Lançamentos!C$9:C80))</f>
        <v/>
      </c>
      <c r="J80" s="13" t="str">
        <f>IF(Lançamentos!J80="","",Lançamentos!J80)</f>
        <v/>
      </c>
    </row>
    <row r="81" spans="1:10" ht="23.1" customHeight="1">
      <c r="A81" s="1" t="str">
        <f>IF(ISNUMBER(Lançamentos!A81),Lançamentos!A81,"")</f>
        <v/>
      </c>
      <c r="B81" s="1" t="str">
        <f>IF(Lançamentos!B81="","",Lançamentos!B81)</f>
        <v/>
      </c>
      <c r="C81" s="12" t="str">
        <f>IF(ISNUMBER(Lançamentos!C81),Lançamentos!C81,"")</f>
        <v/>
      </c>
      <c r="D81" s="10" t="str">
        <f>IF(A81="","",SUM(Lançamentos!D$9:D81))</f>
        <v/>
      </c>
      <c r="E81" s="1"/>
      <c r="F81" s="11" t="str">
        <f>IF(A81="","",SUM(Lançamentos!F$9:F81))</f>
        <v/>
      </c>
      <c r="G81" s="11" t="str">
        <f>IF(A81="","",SUM(Lançamentos!G$9:G81))</f>
        <v/>
      </c>
      <c r="H81" s="11" t="str">
        <f>IF(A81="","",SUM(Lançamentos!H$9:H81))</f>
        <v/>
      </c>
      <c r="I81" s="12" t="str">
        <f>IF(A81="","",SUM(Lançamentos!C$9:C81))</f>
        <v/>
      </c>
      <c r="J81" s="13" t="str">
        <f>IF(Lançamentos!J81="","",Lançamentos!J81)</f>
        <v/>
      </c>
    </row>
    <row r="82" spans="1:10" ht="23.1" customHeight="1">
      <c r="A82" s="1" t="str">
        <f>IF(ISNUMBER(Lançamentos!A82),Lançamentos!A82,"")</f>
        <v/>
      </c>
      <c r="B82" s="1" t="str">
        <f>IF(Lançamentos!B82="","",Lançamentos!B82)</f>
        <v/>
      </c>
      <c r="C82" s="12" t="str">
        <f>IF(ISNUMBER(Lançamentos!C82),Lançamentos!C82,"")</f>
        <v/>
      </c>
      <c r="D82" s="10" t="str">
        <f>IF(A82="","",SUM(Lançamentos!D$9:D82))</f>
        <v/>
      </c>
      <c r="E82" s="1"/>
      <c r="F82" s="11" t="str">
        <f>IF(A82="","",SUM(Lançamentos!F$9:F82))</f>
        <v/>
      </c>
      <c r="G82" s="11" t="str">
        <f>IF(A82="","",SUM(Lançamentos!G$9:G82))</f>
        <v/>
      </c>
      <c r="H82" s="11" t="str">
        <f>IF(A82="","",SUM(Lançamentos!H$9:H82))</f>
        <v/>
      </c>
      <c r="I82" s="12" t="str">
        <f>IF(A82="","",SUM(Lançamentos!C$9:C82))</f>
        <v/>
      </c>
      <c r="J82" s="13" t="str">
        <f>IF(Lançamentos!J82="","",Lançamentos!J82)</f>
        <v/>
      </c>
    </row>
    <row r="83" spans="1:10" ht="23.1" customHeight="1">
      <c r="A83" s="1" t="str">
        <f>IF(ISNUMBER(Lançamentos!A83),Lançamentos!A83,"")</f>
        <v/>
      </c>
      <c r="B83" s="1" t="str">
        <f>IF(Lançamentos!B83="","",Lançamentos!B83)</f>
        <v/>
      </c>
      <c r="C83" s="12" t="str">
        <f>IF(ISNUMBER(Lançamentos!C83),Lançamentos!C83,"")</f>
        <v/>
      </c>
      <c r="D83" s="10" t="str">
        <f>IF(A83="","",SUM(Lançamentos!D$9:D83))</f>
        <v/>
      </c>
      <c r="E83" s="1"/>
      <c r="F83" s="11" t="str">
        <f>IF(A83="","",SUM(Lançamentos!F$9:F83))</f>
        <v/>
      </c>
      <c r="G83" s="11" t="str">
        <f>IF(A83="","",SUM(Lançamentos!G$9:G83))</f>
        <v/>
      </c>
      <c r="H83" s="11" t="str">
        <f>IF(A83="","",SUM(Lançamentos!H$9:H83))</f>
        <v/>
      </c>
      <c r="I83" s="12" t="str">
        <f>IF(A83="","",SUM(Lançamentos!C$9:C83))</f>
        <v/>
      </c>
      <c r="J83" s="13" t="str">
        <f>IF(Lançamentos!J83="","",Lançamentos!J83)</f>
        <v/>
      </c>
    </row>
    <row r="84" spans="1:10" ht="23.1" customHeight="1">
      <c r="A84" s="1" t="str">
        <f>IF(ISNUMBER(Lançamentos!A84),Lançamentos!A84,"")</f>
        <v/>
      </c>
      <c r="B84" s="1" t="str">
        <f>IF(Lançamentos!B84="","",Lançamentos!B84)</f>
        <v/>
      </c>
      <c r="C84" s="12" t="str">
        <f>IF(ISNUMBER(Lançamentos!C84),Lançamentos!C84,"")</f>
        <v/>
      </c>
      <c r="D84" s="10" t="str">
        <f>IF(A84="","",SUM(Lançamentos!D$9:D84))</f>
        <v/>
      </c>
      <c r="E84" s="1"/>
      <c r="F84" s="11" t="str">
        <f>IF(A84="","",SUM(Lançamentos!F$9:F84))</f>
        <v/>
      </c>
      <c r="G84" s="11" t="str">
        <f>IF(A84="","",SUM(Lançamentos!G$9:G84))</f>
        <v/>
      </c>
      <c r="H84" s="11" t="str">
        <f>IF(A84="","",SUM(Lançamentos!H$9:H84))</f>
        <v/>
      </c>
      <c r="I84" s="12" t="str">
        <f>IF(A84="","",SUM(Lançamentos!C$9:C84))</f>
        <v/>
      </c>
      <c r="J84" s="13" t="str">
        <f>IF(Lançamentos!J84="","",Lançamentos!J84)</f>
        <v/>
      </c>
    </row>
    <row r="85" spans="1:10" ht="23.1" customHeight="1">
      <c r="A85" s="1" t="str">
        <f>IF(ISNUMBER(Lançamentos!A85),Lançamentos!A85,"")</f>
        <v/>
      </c>
      <c r="B85" s="1" t="str">
        <f>IF(Lançamentos!B85="","",Lançamentos!B85)</f>
        <v/>
      </c>
      <c r="C85" s="12" t="str">
        <f>IF(ISNUMBER(Lançamentos!C85),Lançamentos!C85,"")</f>
        <v/>
      </c>
      <c r="D85" s="10" t="str">
        <f>IF(A85="","",SUM(Lançamentos!D$9:D85))</f>
        <v/>
      </c>
      <c r="E85" s="1"/>
      <c r="F85" s="11" t="str">
        <f>IF(A85="","",SUM(Lançamentos!F$9:F85))</f>
        <v/>
      </c>
      <c r="G85" s="11" t="str">
        <f>IF(A85="","",SUM(Lançamentos!G$9:G85))</f>
        <v/>
      </c>
      <c r="H85" s="11" t="str">
        <f>IF(A85="","",SUM(Lançamentos!H$9:H85))</f>
        <v/>
      </c>
      <c r="I85" s="12" t="str">
        <f>IF(A85="","",SUM(Lançamentos!C$9:C85))</f>
        <v/>
      </c>
      <c r="J85" s="13" t="str">
        <f>IF(Lançamentos!J85="","",Lançamentos!J85)</f>
        <v/>
      </c>
    </row>
    <row r="86" spans="1:10" ht="23.1" customHeight="1">
      <c r="A86" s="1" t="str">
        <f>IF(ISNUMBER(Lançamentos!A86),Lançamentos!A86,"")</f>
        <v/>
      </c>
      <c r="B86" s="1" t="str">
        <f>IF(Lançamentos!B86="","",Lançamentos!B86)</f>
        <v/>
      </c>
      <c r="C86" s="12" t="str">
        <f>IF(ISNUMBER(Lançamentos!C86),Lançamentos!C86,"")</f>
        <v/>
      </c>
      <c r="D86" s="10" t="str">
        <f>IF(A86="","",SUM(Lançamentos!D$9:D86))</f>
        <v/>
      </c>
      <c r="E86" s="1"/>
      <c r="F86" s="11" t="str">
        <f>IF(A86="","",SUM(Lançamentos!F$9:F86))</f>
        <v/>
      </c>
      <c r="G86" s="11" t="str">
        <f>IF(A86="","",SUM(Lançamentos!G$9:G86))</f>
        <v/>
      </c>
      <c r="H86" s="11" t="str">
        <f>IF(A86="","",SUM(Lançamentos!H$9:H86))</f>
        <v/>
      </c>
      <c r="I86" s="12" t="str">
        <f>IF(A86="","",SUM(Lançamentos!C$9:C86))</f>
        <v/>
      </c>
      <c r="J86" s="13" t="str">
        <f>IF(Lançamentos!J86="","",Lançamentos!J86)</f>
        <v/>
      </c>
    </row>
    <row r="87" spans="1:10" ht="23.1" customHeight="1">
      <c r="A87" s="1" t="str">
        <f>IF(ISNUMBER(Lançamentos!A87),Lançamentos!A87,"")</f>
        <v/>
      </c>
      <c r="B87" s="1" t="str">
        <f>IF(Lançamentos!B87="","",Lançamentos!B87)</f>
        <v/>
      </c>
      <c r="C87" s="12" t="str">
        <f>IF(ISNUMBER(Lançamentos!C87),Lançamentos!C87,"")</f>
        <v/>
      </c>
      <c r="D87" s="10" t="str">
        <f>IF(A87="","",SUM(Lançamentos!D$9:D87))</f>
        <v/>
      </c>
      <c r="E87" s="1"/>
      <c r="F87" s="11" t="str">
        <f>IF(A87="","",SUM(Lançamentos!F$9:F87))</f>
        <v/>
      </c>
      <c r="G87" s="11" t="str">
        <f>IF(A87="","",SUM(Lançamentos!G$9:G87))</f>
        <v/>
      </c>
      <c r="H87" s="11" t="str">
        <f>IF(A87="","",SUM(Lançamentos!H$9:H87))</f>
        <v/>
      </c>
      <c r="I87" s="12" t="str">
        <f>IF(A87="","",SUM(Lançamentos!C$9:C87))</f>
        <v/>
      </c>
      <c r="J87" s="13" t="str">
        <f>IF(Lançamentos!J87="","",Lançamentos!J87)</f>
        <v/>
      </c>
    </row>
    <row r="88" spans="1:10" ht="23.1" customHeight="1">
      <c r="A88" s="1" t="str">
        <f>IF(ISNUMBER(Lançamentos!A88),Lançamentos!A88,"")</f>
        <v/>
      </c>
      <c r="B88" s="1" t="str">
        <f>IF(Lançamentos!B88="","",Lançamentos!B88)</f>
        <v/>
      </c>
      <c r="C88" s="12" t="str">
        <f>IF(ISNUMBER(Lançamentos!C88),Lançamentos!C88,"")</f>
        <v/>
      </c>
      <c r="D88" s="10" t="str">
        <f>IF(A88="","",SUM(Lançamentos!D$9:D88))</f>
        <v/>
      </c>
      <c r="E88" s="1"/>
      <c r="F88" s="11" t="str">
        <f>IF(A88="","",SUM(Lançamentos!F$9:F88))</f>
        <v/>
      </c>
      <c r="G88" s="11" t="str">
        <f>IF(A88="","",SUM(Lançamentos!G$9:G88))</f>
        <v/>
      </c>
      <c r="H88" s="11" t="str">
        <f>IF(A88="","",SUM(Lançamentos!H$9:H88))</f>
        <v/>
      </c>
      <c r="I88" s="12" t="str">
        <f>IF(A88="","",SUM(Lançamentos!C$9:C88))</f>
        <v/>
      </c>
      <c r="J88" s="13" t="str">
        <f>IF(Lançamentos!J88="","",Lançamentos!J88)</f>
        <v/>
      </c>
    </row>
    <row r="89" spans="1:10" ht="23.1" customHeight="1">
      <c r="A89" s="1" t="str">
        <f>IF(ISNUMBER(Lançamentos!A89),Lançamentos!A89,"")</f>
        <v/>
      </c>
      <c r="B89" s="1" t="str">
        <f>IF(Lançamentos!B89="","",Lançamentos!B89)</f>
        <v/>
      </c>
      <c r="C89" s="12" t="str">
        <f>IF(ISNUMBER(Lançamentos!C89),Lançamentos!C89,"")</f>
        <v/>
      </c>
      <c r="D89" s="10" t="str">
        <f>IF(A89="","",SUM(Lançamentos!D$9:D89))</f>
        <v/>
      </c>
      <c r="E89" s="1"/>
      <c r="F89" s="11" t="str">
        <f>IF(A89="","",SUM(Lançamentos!F$9:F89))</f>
        <v/>
      </c>
      <c r="G89" s="11" t="str">
        <f>IF(A89="","",SUM(Lançamentos!G$9:G89))</f>
        <v/>
      </c>
      <c r="H89" s="11" t="str">
        <f>IF(A89="","",SUM(Lançamentos!H$9:H89))</f>
        <v/>
      </c>
      <c r="I89" s="12" t="str">
        <f>IF(A89="","",SUM(Lançamentos!C$9:C89))</f>
        <v/>
      </c>
      <c r="J89" s="13" t="str">
        <f>IF(Lançamentos!J89="","",Lançamentos!J89)</f>
        <v/>
      </c>
    </row>
    <row r="90" spans="1:10" ht="23.1" customHeight="1">
      <c r="A90" s="1" t="str">
        <f>IF(ISNUMBER(Lançamentos!A90),Lançamentos!A90,"")</f>
        <v/>
      </c>
      <c r="B90" s="1" t="str">
        <f>IF(Lançamentos!B90="","",Lançamentos!B90)</f>
        <v/>
      </c>
      <c r="C90" s="12" t="str">
        <f>IF(ISNUMBER(Lançamentos!C90),Lançamentos!C90,"")</f>
        <v/>
      </c>
      <c r="D90" s="10" t="str">
        <f>IF(A90="","",SUM(Lançamentos!D$9:D90))</f>
        <v/>
      </c>
      <c r="E90" s="1"/>
      <c r="F90" s="11" t="str">
        <f>IF(A90="","",SUM(Lançamentos!F$9:F90))</f>
        <v/>
      </c>
      <c r="G90" s="11" t="str">
        <f>IF(A90="","",SUM(Lançamentos!G$9:G90))</f>
        <v/>
      </c>
      <c r="H90" s="11" t="str">
        <f>IF(A90="","",SUM(Lançamentos!H$9:H90))</f>
        <v/>
      </c>
      <c r="I90" s="12" t="str">
        <f>IF(A90="","",SUM(Lançamentos!C$9:C90))</f>
        <v/>
      </c>
      <c r="J90" s="13" t="str">
        <f>IF(Lançamentos!J90="","",Lançamentos!J90)</f>
        <v/>
      </c>
    </row>
    <row r="91" spans="1:10" ht="23.1" customHeight="1">
      <c r="A91" s="1" t="str">
        <f>IF(ISNUMBER(Lançamentos!A91),Lançamentos!A91,"")</f>
        <v/>
      </c>
      <c r="B91" s="1" t="str">
        <f>IF(Lançamentos!B91="","",Lançamentos!B91)</f>
        <v/>
      </c>
      <c r="C91" s="12" t="str">
        <f>IF(ISNUMBER(Lançamentos!C91),Lançamentos!C91,"")</f>
        <v/>
      </c>
      <c r="D91" s="10" t="str">
        <f>IF(A91="","",SUM(Lançamentos!D$9:D91))</f>
        <v/>
      </c>
      <c r="E91" s="1"/>
      <c r="F91" s="11" t="str">
        <f>IF(A91="","",SUM(Lançamentos!F$9:F91))</f>
        <v/>
      </c>
      <c r="G91" s="11" t="str">
        <f>IF(A91="","",SUM(Lançamentos!G$9:G91))</f>
        <v/>
      </c>
      <c r="H91" s="11" t="str">
        <f>IF(A91="","",SUM(Lançamentos!H$9:H91))</f>
        <v/>
      </c>
      <c r="I91" s="12" t="str">
        <f>IF(A91="","",SUM(Lançamentos!C$9:C91))</f>
        <v/>
      </c>
      <c r="J91" s="13" t="str">
        <f>IF(Lançamentos!J91="","",Lançamentos!J91)</f>
        <v/>
      </c>
    </row>
    <row r="92" spans="1:10" ht="23.1" customHeight="1">
      <c r="A92" s="1" t="str">
        <f>IF(ISNUMBER(Lançamentos!A92),Lançamentos!A92,"")</f>
        <v/>
      </c>
      <c r="B92" s="1" t="str">
        <f>IF(Lançamentos!B92="","",Lançamentos!B92)</f>
        <v/>
      </c>
      <c r="C92" s="12" t="str">
        <f>IF(ISNUMBER(Lançamentos!C92),Lançamentos!C92,"")</f>
        <v/>
      </c>
      <c r="D92" s="10" t="str">
        <f>IF(A92="","",SUM(Lançamentos!D$9:D92))</f>
        <v/>
      </c>
      <c r="E92" s="1"/>
      <c r="F92" s="11" t="str">
        <f>IF(A92="","",SUM(Lançamentos!F$9:F92))</f>
        <v/>
      </c>
      <c r="G92" s="11" t="str">
        <f>IF(A92="","",SUM(Lançamentos!G$9:G92))</f>
        <v/>
      </c>
      <c r="H92" s="11" t="str">
        <f>IF(A92="","",SUM(Lançamentos!H$9:H92))</f>
        <v/>
      </c>
      <c r="I92" s="12" t="str">
        <f>IF(A92="","",SUM(Lançamentos!C$9:C92))</f>
        <v/>
      </c>
      <c r="J92" s="13" t="str">
        <f>IF(Lançamentos!J92="","",Lançamentos!J92)</f>
        <v/>
      </c>
    </row>
    <row r="93" spans="1:10" ht="23.1" customHeight="1">
      <c r="A93" s="1" t="str">
        <f>IF(ISNUMBER(Lançamentos!A93),Lançamentos!A93,"")</f>
        <v/>
      </c>
      <c r="B93" s="1" t="str">
        <f>IF(Lançamentos!B93="","",Lançamentos!B93)</f>
        <v/>
      </c>
      <c r="C93" s="12" t="str">
        <f>IF(ISNUMBER(Lançamentos!C93),Lançamentos!C93,"")</f>
        <v/>
      </c>
      <c r="D93" s="10" t="str">
        <f>IF(A93="","",SUM(Lançamentos!D$9:D93))</f>
        <v/>
      </c>
      <c r="E93" s="1"/>
      <c r="F93" s="11" t="str">
        <f>IF(A93="","",SUM(Lançamentos!F$9:F93))</f>
        <v/>
      </c>
      <c r="G93" s="11" t="str">
        <f>IF(A93="","",SUM(Lançamentos!G$9:G93))</f>
        <v/>
      </c>
      <c r="H93" s="11" t="str">
        <f>IF(A93="","",SUM(Lançamentos!H$9:H93))</f>
        <v/>
      </c>
      <c r="I93" s="12" t="str">
        <f>IF(A93="","",SUM(Lançamentos!C$9:C93))</f>
        <v/>
      </c>
      <c r="J93" s="13" t="str">
        <f>IF(Lançamentos!J93="","",Lançamentos!J93)</f>
        <v/>
      </c>
    </row>
    <row r="94" spans="1:10" ht="23.1" customHeight="1">
      <c r="A94" s="1" t="str">
        <f>IF(ISNUMBER(Lançamentos!A94),Lançamentos!A94,"")</f>
        <v/>
      </c>
      <c r="B94" s="1" t="str">
        <f>IF(Lançamentos!B94="","",Lançamentos!B94)</f>
        <v/>
      </c>
      <c r="C94" s="12" t="str">
        <f>IF(ISNUMBER(Lançamentos!C94),Lançamentos!C94,"")</f>
        <v/>
      </c>
      <c r="D94" s="10" t="str">
        <f>IF(A94="","",SUM(Lançamentos!D$9:D94))</f>
        <v/>
      </c>
      <c r="E94" s="1"/>
      <c r="F94" s="11" t="str">
        <f>IF(A94="","",SUM(Lançamentos!F$9:F94))</f>
        <v/>
      </c>
      <c r="G94" s="11" t="str">
        <f>IF(A94="","",SUM(Lançamentos!G$9:G94))</f>
        <v/>
      </c>
      <c r="H94" s="11" t="str">
        <f>IF(A94="","",SUM(Lançamentos!H$9:H94))</f>
        <v/>
      </c>
      <c r="I94" s="12" t="str">
        <f>IF(A94="","",SUM(Lançamentos!C$9:C94))</f>
        <v/>
      </c>
      <c r="J94" s="13" t="str">
        <f>IF(Lançamentos!J94="","",Lançamentos!J94)</f>
        <v/>
      </c>
    </row>
    <row r="95" spans="1:10" ht="23.1" customHeight="1">
      <c r="A95" s="1" t="str">
        <f>IF(ISNUMBER(Lançamentos!A95),Lançamentos!A95,"")</f>
        <v/>
      </c>
      <c r="B95" s="1" t="str">
        <f>IF(Lançamentos!B95="","",Lançamentos!B95)</f>
        <v/>
      </c>
      <c r="C95" s="12" t="str">
        <f>IF(ISNUMBER(Lançamentos!C95),Lançamentos!C95,"")</f>
        <v/>
      </c>
      <c r="D95" s="10" t="str">
        <f>IF(A95="","",SUM(Lançamentos!D$9:D95))</f>
        <v/>
      </c>
      <c r="E95" s="1"/>
      <c r="F95" s="11" t="str">
        <f>IF(A95="","",SUM(Lançamentos!F$9:F95))</f>
        <v/>
      </c>
      <c r="G95" s="11" t="str">
        <f>IF(A95="","",SUM(Lançamentos!G$9:G95))</f>
        <v/>
      </c>
      <c r="H95" s="11" t="str">
        <f>IF(A95="","",SUM(Lançamentos!H$9:H95))</f>
        <v/>
      </c>
      <c r="I95" s="12" t="str">
        <f>IF(A95="","",SUM(Lançamentos!C$9:C95))</f>
        <v/>
      </c>
      <c r="J95" s="13" t="str">
        <f>IF(Lançamentos!J95="","",Lançamentos!J95)</f>
        <v/>
      </c>
    </row>
    <row r="96" spans="1:10" ht="23.1" customHeight="1">
      <c r="A96" s="1" t="str">
        <f>IF(ISNUMBER(Lançamentos!A96),Lançamentos!A96,"")</f>
        <v/>
      </c>
      <c r="B96" s="1" t="str">
        <f>IF(Lançamentos!B96="","",Lançamentos!B96)</f>
        <v/>
      </c>
      <c r="C96" s="12" t="str">
        <f>IF(ISNUMBER(Lançamentos!C96),Lançamentos!C96,"")</f>
        <v/>
      </c>
      <c r="D96" s="10" t="str">
        <f>IF(A96="","",SUM(Lançamentos!D$9:D96))</f>
        <v/>
      </c>
      <c r="E96" s="1"/>
      <c r="F96" s="11" t="str">
        <f>IF(A96="","",SUM(Lançamentos!F$9:F96))</f>
        <v/>
      </c>
      <c r="G96" s="11" t="str">
        <f>IF(A96="","",SUM(Lançamentos!G$9:G96))</f>
        <v/>
      </c>
      <c r="H96" s="11" t="str">
        <f>IF(A96="","",SUM(Lançamentos!H$9:H96))</f>
        <v/>
      </c>
      <c r="I96" s="12" t="str">
        <f>IF(A96="","",SUM(Lançamentos!C$9:C96))</f>
        <v/>
      </c>
      <c r="J96" s="13" t="str">
        <f>IF(Lançamentos!J96="","",Lançamentos!J96)</f>
        <v/>
      </c>
    </row>
    <row r="97" spans="1:10" ht="23.1" customHeight="1">
      <c r="A97" s="1" t="str">
        <f>IF(ISNUMBER(Lançamentos!A97),Lançamentos!A97,"")</f>
        <v/>
      </c>
      <c r="B97" s="1" t="str">
        <f>IF(Lançamentos!B97="","",Lançamentos!B97)</f>
        <v/>
      </c>
      <c r="C97" s="12" t="str">
        <f>IF(ISNUMBER(Lançamentos!C97),Lançamentos!C97,"")</f>
        <v/>
      </c>
      <c r="D97" s="10" t="str">
        <f>IF(A97="","",SUM(Lançamentos!D$9:D97))</f>
        <v/>
      </c>
      <c r="E97" s="1"/>
      <c r="F97" s="11" t="str">
        <f>IF(A97="","",SUM(Lançamentos!F$9:F97))</f>
        <v/>
      </c>
      <c r="G97" s="11" t="str">
        <f>IF(A97="","",SUM(Lançamentos!G$9:G97))</f>
        <v/>
      </c>
      <c r="H97" s="11" t="str">
        <f>IF(A97="","",SUM(Lançamentos!H$9:H97))</f>
        <v/>
      </c>
      <c r="I97" s="12" t="str">
        <f>IF(A97="","",SUM(Lançamentos!C$9:C97))</f>
        <v/>
      </c>
      <c r="J97" s="13" t="str">
        <f>IF(Lançamentos!J97="","",Lançamentos!J97)</f>
        <v/>
      </c>
    </row>
    <row r="98" spans="1:10" ht="23.1" customHeight="1">
      <c r="A98" s="1" t="str">
        <f>IF(ISNUMBER(Lançamentos!A98),Lançamentos!A98,"")</f>
        <v/>
      </c>
      <c r="B98" s="1" t="str">
        <f>IF(Lançamentos!B98="","",Lançamentos!B98)</f>
        <v/>
      </c>
      <c r="C98" s="12" t="str">
        <f>IF(ISNUMBER(Lançamentos!C98),Lançamentos!C98,"")</f>
        <v/>
      </c>
      <c r="D98" s="10" t="str">
        <f>IF(A98="","",SUM(Lançamentos!D$9:D98))</f>
        <v/>
      </c>
      <c r="E98" s="1"/>
      <c r="F98" s="11" t="str">
        <f>IF(A98="","",SUM(Lançamentos!F$9:F98))</f>
        <v/>
      </c>
      <c r="G98" s="11" t="str">
        <f>IF(A98="","",SUM(Lançamentos!G$9:G98))</f>
        <v/>
      </c>
      <c r="H98" s="11" t="str">
        <f>IF(A98="","",SUM(Lançamentos!H$9:H98))</f>
        <v/>
      </c>
      <c r="I98" s="12" t="str">
        <f>IF(A98="","",SUM(Lançamentos!C$9:C98))</f>
        <v/>
      </c>
      <c r="J98" s="13" t="str">
        <f>IF(Lançamentos!J98="","",Lançamentos!J98)</f>
        <v/>
      </c>
    </row>
    <row r="99" spans="1:10" ht="23.1" customHeight="1">
      <c r="A99" s="1" t="str">
        <f>IF(ISNUMBER(Lançamentos!A99),Lançamentos!A99,"")</f>
        <v/>
      </c>
      <c r="B99" s="1" t="str">
        <f>IF(Lançamentos!B99="","",Lançamentos!B99)</f>
        <v/>
      </c>
      <c r="C99" s="12" t="str">
        <f>IF(ISNUMBER(Lançamentos!C99),Lançamentos!C99,"")</f>
        <v/>
      </c>
      <c r="D99" s="10" t="str">
        <f>IF(A99="","",SUM(Lançamentos!D$9:D99))</f>
        <v/>
      </c>
      <c r="E99" s="1"/>
      <c r="F99" s="11" t="str">
        <f>IF(A99="","",SUM(Lançamentos!F$9:F99))</f>
        <v/>
      </c>
      <c r="G99" s="11" t="str">
        <f>IF(A99="","",SUM(Lançamentos!G$9:G99))</f>
        <v/>
      </c>
      <c r="H99" s="11" t="str">
        <f>IF(A99="","",SUM(Lançamentos!H$9:H99))</f>
        <v/>
      </c>
      <c r="I99" s="12" t="str">
        <f>IF(A99="","",SUM(Lançamentos!C$9:C99))</f>
        <v/>
      </c>
      <c r="J99" s="13" t="str">
        <f>IF(Lançamentos!J99="","",Lançamentos!J99)</f>
        <v/>
      </c>
    </row>
    <row r="100" spans="1:10" ht="23.1" customHeight="1">
      <c r="A100" s="1" t="str">
        <f>IF(ISNUMBER(Lançamentos!A100),Lançamentos!A100,"")</f>
        <v/>
      </c>
      <c r="B100" s="1" t="str">
        <f>IF(Lançamentos!B100="","",Lançamentos!B100)</f>
        <v/>
      </c>
      <c r="C100" s="12" t="str">
        <f>IF(ISNUMBER(Lançamentos!C100),Lançamentos!C100,"")</f>
        <v/>
      </c>
      <c r="D100" s="10" t="str">
        <f>IF(A100="","",SUM(Lançamentos!D$9:D100))</f>
        <v/>
      </c>
      <c r="E100" s="1"/>
      <c r="F100" s="11" t="str">
        <f>IF(A100="","",SUM(Lançamentos!F$9:F100))</f>
        <v/>
      </c>
      <c r="G100" s="11" t="str">
        <f>IF(A100="","",SUM(Lançamentos!G$9:G100))</f>
        <v/>
      </c>
      <c r="H100" s="11" t="str">
        <f>IF(A100="","",SUM(Lançamentos!H$9:H100))</f>
        <v/>
      </c>
      <c r="I100" s="12" t="str">
        <f>IF(A100="","",SUM(Lançamentos!C$9:C100))</f>
        <v/>
      </c>
      <c r="J100" s="13" t="str">
        <f>IF(Lançamentos!J100="","",Lançamentos!J100)</f>
        <v/>
      </c>
    </row>
    <row r="101" spans="1:10" ht="23.1" customHeight="1">
      <c r="A101" s="1" t="str">
        <f>IF(ISNUMBER(Lançamentos!A101),Lançamentos!A101,"")</f>
        <v/>
      </c>
      <c r="B101" s="1" t="str">
        <f>IF(Lançamentos!B101="","",Lançamentos!B101)</f>
        <v/>
      </c>
      <c r="C101" s="12" t="str">
        <f>IF(ISNUMBER(Lançamentos!C101),Lançamentos!C101,"")</f>
        <v/>
      </c>
      <c r="D101" s="10" t="str">
        <f>IF(A101="","",SUM(Lançamentos!D$9:D101))</f>
        <v/>
      </c>
      <c r="E101" s="1"/>
      <c r="F101" s="11" t="str">
        <f>IF(A101="","",SUM(Lançamentos!F$9:F101))</f>
        <v/>
      </c>
      <c r="G101" s="11" t="str">
        <f>IF(A101="","",SUM(Lançamentos!G$9:G101))</f>
        <v/>
      </c>
      <c r="H101" s="11" t="str">
        <f>IF(A101="","",SUM(Lançamentos!H$9:H101))</f>
        <v/>
      </c>
      <c r="I101" s="12" t="str">
        <f>IF(A101="","",SUM(Lançamentos!C$9:C101))</f>
        <v/>
      </c>
      <c r="J101" s="13" t="str">
        <f>IF(Lançamentos!J101="","",Lançamentos!J101)</f>
        <v/>
      </c>
    </row>
    <row r="102" spans="1:10" ht="23.1" customHeight="1">
      <c r="A102" s="1" t="str">
        <f>IF(ISNUMBER(Lançamentos!A102),Lançamentos!A102,"")</f>
        <v/>
      </c>
      <c r="B102" s="1" t="str">
        <f>IF(Lançamentos!B102="","",Lançamentos!B102)</f>
        <v/>
      </c>
      <c r="C102" s="12" t="str">
        <f>IF(ISNUMBER(Lançamentos!C102),Lançamentos!C102,"")</f>
        <v/>
      </c>
      <c r="D102" s="10" t="str">
        <f>IF(A102="","",SUM(Lançamentos!D$9:D102))</f>
        <v/>
      </c>
      <c r="E102" s="1"/>
      <c r="F102" s="11" t="str">
        <f>IF(A102="","",SUM(Lançamentos!F$9:F102))</f>
        <v/>
      </c>
      <c r="G102" s="11" t="str">
        <f>IF(A102="","",SUM(Lançamentos!G$9:G102))</f>
        <v/>
      </c>
      <c r="H102" s="11" t="str">
        <f>IF(A102="","",SUM(Lançamentos!H$9:H102))</f>
        <v/>
      </c>
      <c r="I102" s="12" t="str">
        <f>IF(A102="","",SUM(Lançamentos!C$9:C102))</f>
        <v/>
      </c>
      <c r="J102" s="13" t="str">
        <f>IF(Lançamentos!J102="","",Lançamentos!J102)</f>
        <v/>
      </c>
    </row>
    <row r="103" spans="1:10" ht="23.1" customHeight="1">
      <c r="A103" s="1" t="str">
        <f>IF(ISNUMBER(Lançamentos!A103),Lançamentos!A103,"")</f>
        <v/>
      </c>
      <c r="B103" s="1" t="str">
        <f>IF(Lançamentos!B103="","",Lançamentos!B103)</f>
        <v/>
      </c>
      <c r="C103" s="12" t="str">
        <f>IF(ISNUMBER(Lançamentos!C103),Lançamentos!C103,"")</f>
        <v/>
      </c>
      <c r="D103" s="10" t="str">
        <f>IF(A103="","",SUM(Lançamentos!D$9:D103))</f>
        <v/>
      </c>
      <c r="E103" s="1"/>
      <c r="F103" s="11" t="str">
        <f>IF(A103="","",SUM(Lançamentos!F$9:F103))</f>
        <v/>
      </c>
      <c r="G103" s="11" t="str">
        <f>IF(A103="","",SUM(Lançamentos!G$9:G103))</f>
        <v/>
      </c>
      <c r="H103" s="11" t="str">
        <f>IF(A103="","",SUM(Lançamentos!H$9:H103))</f>
        <v/>
      </c>
      <c r="I103" s="12" t="str">
        <f>IF(A103="","",SUM(Lançamentos!C$9:C103))</f>
        <v/>
      </c>
      <c r="J103" s="13" t="str">
        <f>IF(Lançamentos!J103="","",Lançamentos!J103)</f>
        <v/>
      </c>
    </row>
    <row r="104" spans="1:10" ht="23.1" customHeight="1">
      <c r="A104" s="1" t="str">
        <f>IF(ISNUMBER(Lançamentos!A104),Lançamentos!A104,"")</f>
        <v/>
      </c>
      <c r="B104" s="1" t="str">
        <f>IF(Lançamentos!B104="","",Lançamentos!B104)</f>
        <v/>
      </c>
      <c r="C104" s="12" t="str">
        <f>IF(ISNUMBER(Lançamentos!C104),Lançamentos!C104,"")</f>
        <v/>
      </c>
      <c r="D104" s="10" t="str">
        <f>IF(A104="","",SUM(Lançamentos!D$9:D104))</f>
        <v/>
      </c>
      <c r="E104" s="1"/>
      <c r="F104" s="11" t="str">
        <f>IF(A104="","",SUM(Lançamentos!F$9:F104))</f>
        <v/>
      </c>
      <c r="G104" s="11" t="str">
        <f>IF(A104="","",SUM(Lançamentos!G$9:G104))</f>
        <v/>
      </c>
      <c r="H104" s="11" t="str">
        <f>IF(A104="","",SUM(Lançamentos!H$9:H104))</f>
        <v/>
      </c>
      <c r="I104" s="12" t="str">
        <f>IF(A104="","",SUM(Lançamentos!C$9:C104))</f>
        <v/>
      </c>
      <c r="J104" s="13" t="str">
        <f>IF(Lançamentos!J104="","",Lançamentos!J104)</f>
        <v/>
      </c>
    </row>
    <row r="105" spans="1:10" ht="23.1" customHeight="1">
      <c r="A105" s="1" t="str">
        <f>IF(ISNUMBER(Lançamentos!A105),Lançamentos!A105,"")</f>
        <v/>
      </c>
      <c r="B105" s="1" t="str">
        <f>IF(Lançamentos!B105="","",Lançamentos!B105)</f>
        <v/>
      </c>
      <c r="C105" s="12" t="str">
        <f>IF(ISNUMBER(Lançamentos!C105),Lançamentos!C105,"")</f>
        <v/>
      </c>
      <c r="D105" s="10" t="str">
        <f>IF(A105="","",SUM(Lançamentos!D$9:D105))</f>
        <v/>
      </c>
      <c r="E105" s="1"/>
      <c r="F105" s="11" t="str">
        <f>IF(A105="","",SUM(Lançamentos!F$9:F105))</f>
        <v/>
      </c>
      <c r="G105" s="11" t="str">
        <f>IF(A105="","",SUM(Lançamentos!G$9:G105))</f>
        <v/>
      </c>
      <c r="H105" s="11" t="str">
        <f>IF(A105="","",SUM(Lançamentos!H$9:H105))</f>
        <v/>
      </c>
      <c r="I105" s="12" t="str">
        <f>IF(A105="","",SUM(Lançamentos!C$9:C105))</f>
        <v/>
      </c>
      <c r="J105" s="13" t="str">
        <f>IF(Lançamentos!J105="","",Lançamentos!J105)</f>
        <v/>
      </c>
    </row>
    <row r="106" spans="1:10" ht="23.1" customHeight="1">
      <c r="A106" s="1" t="str">
        <f>IF(ISNUMBER(Lançamentos!A106),Lançamentos!A106,"")</f>
        <v/>
      </c>
      <c r="B106" s="1" t="str">
        <f>IF(Lançamentos!B106="","",Lançamentos!B106)</f>
        <v/>
      </c>
      <c r="C106" s="12" t="str">
        <f>IF(ISNUMBER(Lançamentos!C106),Lançamentos!C106,"")</f>
        <v/>
      </c>
      <c r="D106" s="10" t="str">
        <f>IF(A106="","",SUM(Lançamentos!D$9:D106))</f>
        <v/>
      </c>
      <c r="E106" s="1"/>
      <c r="F106" s="11" t="str">
        <f>IF(A106="","",SUM(Lançamentos!F$9:F106))</f>
        <v/>
      </c>
      <c r="G106" s="11" t="str">
        <f>IF(A106="","",SUM(Lançamentos!G$9:G106))</f>
        <v/>
      </c>
      <c r="H106" s="11" t="str">
        <f>IF(A106="","",SUM(Lançamentos!H$9:H106))</f>
        <v/>
      </c>
      <c r="I106" s="12" t="str">
        <f>IF(A106="","",SUM(Lançamentos!C$9:C106))</f>
        <v/>
      </c>
      <c r="J106" s="13" t="str">
        <f>IF(Lançamentos!J106="","",Lançamentos!J106)</f>
        <v/>
      </c>
    </row>
    <row r="107" spans="1:10" ht="23.1" customHeight="1">
      <c r="A107" s="1" t="str">
        <f>IF(ISNUMBER(Lançamentos!A107),Lançamentos!A107,"")</f>
        <v/>
      </c>
      <c r="B107" s="1" t="str">
        <f>IF(Lançamentos!B107="","",Lançamentos!B107)</f>
        <v/>
      </c>
      <c r="C107" s="12" t="str">
        <f>IF(ISNUMBER(Lançamentos!C107),Lançamentos!C107,"")</f>
        <v/>
      </c>
      <c r="D107" s="10" t="str">
        <f>IF(A107="","",SUM(Lançamentos!D$9:D107))</f>
        <v/>
      </c>
      <c r="E107" s="1"/>
      <c r="F107" s="11" t="str">
        <f>IF(A107="","",SUM(Lançamentos!F$9:F107))</f>
        <v/>
      </c>
      <c r="G107" s="11" t="str">
        <f>IF(A107="","",SUM(Lançamentos!G$9:G107))</f>
        <v/>
      </c>
      <c r="H107" s="11" t="str">
        <f>IF(A107="","",SUM(Lançamentos!H$9:H107))</f>
        <v/>
      </c>
      <c r="I107" s="12" t="str">
        <f>IF(A107="","",SUM(Lançamentos!C$9:C107))</f>
        <v/>
      </c>
      <c r="J107" s="13" t="str">
        <f>IF(Lançamentos!J107="","",Lançamentos!J107)</f>
        <v/>
      </c>
    </row>
    <row r="108" spans="1:10" ht="23.1" customHeight="1">
      <c r="A108" s="1" t="str">
        <f>IF(ISNUMBER(Lançamentos!A108),Lançamentos!A108,"")</f>
        <v/>
      </c>
      <c r="B108" s="1" t="str">
        <f>IF(Lançamentos!B108="","",Lançamentos!B108)</f>
        <v/>
      </c>
      <c r="C108" s="12" t="str">
        <f>IF(ISNUMBER(Lançamentos!C108),Lançamentos!C108,"")</f>
        <v/>
      </c>
      <c r="D108" s="10" t="str">
        <f>IF(A108="","",SUM(Lançamentos!D$9:D108))</f>
        <v/>
      </c>
      <c r="E108" s="1"/>
      <c r="F108" s="11" t="str">
        <f>IF(A108="","",SUM(Lançamentos!F$9:F108))</f>
        <v/>
      </c>
      <c r="G108" s="11" t="str">
        <f>IF(A108="","",SUM(Lançamentos!G$9:G108))</f>
        <v/>
      </c>
      <c r="H108" s="11" t="str">
        <f>IF(A108="","",SUM(Lançamentos!H$9:H108))</f>
        <v/>
      </c>
      <c r="I108" s="12" t="str">
        <f>IF(A108="","",SUM(Lançamentos!C$9:C108))</f>
        <v/>
      </c>
      <c r="J108" s="13" t="str">
        <f>IF(Lançamentos!J108="","",Lançamentos!J108)</f>
        <v/>
      </c>
    </row>
    <row r="109" spans="1:10" ht="23.1" customHeight="1">
      <c r="A109" s="1" t="str">
        <f>IF(ISNUMBER(Lançamentos!A109),Lançamentos!A109,"")</f>
        <v/>
      </c>
      <c r="B109" s="1" t="str">
        <f>IF(Lançamentos!B109="","",Lançamentos!B109)</f>
        <v/>
      </c>
      <c r="C109" s="12" t="str">
        <f>IF(ISNUMBER(Lançamentos!C109),Lançamentos!C109,"")</f>
        <v/>
      </c>
      <c r="D109" s="10" t="str">
        <f>IF(A109="","",SUM(Lançamentos!D$9:D109))</f>
        <v/>
      </c>
      <c r="E109" s="1"/>
      <c r="F109" s="11" t="str">
        <f>IF(A109="","",SUM(Lançamentos!F$9:F109))</f>
        <v/>
      </c>
      <c r="G109" s="11" t="str">
        <f>IF(A109="","",SUM(Lançamentos!G$9:G109))</f>
        <v/>
      </c>
      <c r="H109" s="11" t="str">
        <f>IF(A109="","",SUM(Lançamentos!H$9:H109))</f>
        <v/>
      </c>
      <c r="I109" s="12" t="str">
        <f>IF(A109="","",SUM(Lançamentos!C$9:C109))</f>
        <v/>
      </c>
      <c r="J109" s="13" t="str">
        <f>IF(Lançamentos!J109="","",Lançamentos!J109)</f>
        <v/>
      </c>
    </row>
    <row r="110" spans="1:10" ht="23.1" customHeight="1">
      <c r="A110" s="1" t="str">
        <f>IF(ISNUMBER(Lançamentos!A110),Lançamentos!A110,"")</f>
        <v/>
      </c>
      <c r="B110" s="1" t="str">
        <f>IF(Lançamentos!B110="","",Lançamentos!B110)</f>
        <v/>
      </c>
      <c r="C110" s="12" t="str">
        <f>IF(ISNUMBER(Lançamentos!C110),Lançamentos!C110,"")</f>
        <v/>
      </c>
      <c r="D110" s="10" t="str">
        <f>IF(A110="","",SUM(Lançamentos!D$9:D110))</f>
        <v/>
      </c>
      <c r="E110" s="1"/>
      <c r="F110" s="11" t="str">
        <f>IF(A110="","",SUM(Lançamentos!F$9:F110))</f>
        <v/>
      </c>
      <c r="G110" s="11" t="str">
        <f>IF(A110="","",SUM(Lançamentos!G$9:G110))</f>
        <v/>
      </c>
      <c r="H110" s="11" t="str">
        <f>IF(A110="","",SUM(Lançamentos!H$9:H110))</f>
        <v/>
      </c>
      <c r="I110" s="12" t="str">
        <f>IF(A110="","",SUM(Lançamentos!C$9:C110))</f>
        <v/>
      </c>
      <c r="J110" s="13" t="str">
        <f>IF(Lançamentos!J110="","",Lançamentos!J110)</f>
        <v/>
      </c>
    </row>
    <row r="111" spans="1:10" ht="23.1" customHeight="1">
      <c r="A111" s="1" t="str">
        <f>IF(ISNUMBER(Lançamentos!A111),Lançamentos!A111,"")</f>
        <v/>
      </c>
      <c r="B111" s="1" t="str">
        <f>IF(Lançamentos!B111="","",Lançamentos!B111)</f>
        <v/>
      </c>
      <c r="C111" s="12" t="str">
        <f>IF(ISNUMBER(Lançamentos!C111),Lançamentos!C111,"")</f>
        <v/>
      </c>
      <c r="D111" s="10" t="str">
        <f>IF(A111="","",SUM(Lançamentos!D$9:D111))</f>
        <v/>
      </c>
      <c r="E111" s="1"/>
      <c r="F111" s="11" t="str">
        <f>IF(A111="","",SUM(Lançamentos!F$9:F111))</f>
        <v/>
      </c>
      <c r="G111" s="11" t="str">
        <f>IF(A111="","",SUM(Lançamentos!G$9:G111))</f>
        <v/>
      </c>
      <c r="H111" s="11" t="str">
        <f>IF(A111="","",SUM(Lançamentos!H$9:H111))</f>
        <v/>
      </c>
      <c r="I111" s="12" t="str">
        <f>IF(A111="","",SUM(Lançamentos!C$9:C111))</f>
        <v/>
      </c>
      <c r="J111" s="13" t="str">
        <f>IF(Lançamentos!J111="","",Lançamentos!J111)</f>
        <v/>
      </c>
    </row>
    <row r="112" spans="1:10" ht="23.1" customHeight="1">
      <c r="A112" s="1" t="str">
        <f>IF(ISNUMBER(Lançamentos!A112),Lançamentos!A112,"")</f>
        <v/>
      </c>
      <c r="B112" s="1" t="str">
        <f>IF(Lançamentos!B112="","",Lançamentos!B112)</f>
        <v/>
      </c>
      <c r="C112" s="12" t="str">
        <f>IF(ISNUMBER(Lançamentos!C112),Lançamentos!C112,"")</f>
        <v/>
      </c>
      <c r="D112" s="10" t="str">
        <f>IF(A112="","",SUM(Lançamentos!D$9:D112))</f>
        <v/>
      </c>
      <c r="E112" s="1"/>
      <c r="F112" s="11" t="str">
        <f>IF(A112="","",SUM(Lançamentos!F$9:F112))</f>
        <v/>
      </c>
      <c r="G112" s="11" t="str">
        <f>IF(A112="","",SUM(Lançamentos!G$9:G112))</f>
        <v/>
      </c>
      <c r="H112" s="11" t="str">
        <f>IF(A112="","",SUM(Lançamentos!H$9:H112))</f>
        <v/>
      </c>
      <c r="I112" s="12" t="str">
        <f>IF(A112="","",SUM(Lançamentos!C$9:C112))</f>
        <v/>
      </c>
      <c r="J112" s="13" t="str">
        <f>IF(Lançamentos!J112="","",Lançamentos!J112)</f>
        <v/>
      </c>
    </row>
    <row r="113" spans="1:10" ht="23.1" customHeight="1">
      <c r="A113" s="1" t="str">
        <f>IF(ISNUMBER(Lançamentos!A113),Lançamentos!A113,"")</f>
        <v/>
      </c>
      <c r="B113" s="1" t="str">
        <f>IF(Lançamentos!B113="","",Lançamentos!B113)</f>
        <v/>
      </c>
      <c r="C113" s="12" t="str">
        <f>IF(ISNUMBER(Lançamentos!C113),Lançamentos!C113,"")</f>
        <v/>
      </c>
      <c r="D113" s="10" t="str">
        <f>IF(A113="","",SUM(Lançamentos!D$9:D113))</f>
        <v/>
      </c>
      <c r="E113" s="1"/>
      <c r="F113" s="11" t="str">
        <f>IF(A113="","",SUM(Lançamentos!F$9:F113))</f>
        <v/>
      </c>
      <c r="G113" s="11" t="str">
        <f>IF(A113="","",SUM(Lançamentos!G$9:G113))</f>
        <v/>
      </c>
      <c r="H113" s="11" t="str">
        <f>IF(A113="","",SUM(Lançamentos!H$9:H113))</f>
        <v/>
      </c>
      <c r="I113" s="12" t="str">
        <f>IF(A113="","",SUM(Lançamentos!C$9:C113))</f>
        <v/>
      </c>
      <c r="J113" s="13" t="str">
        <f>IF(Lançamentos!J113="","",Lançamentos!J113)</f>
        <v/>
      </c>
    </row>
    <row r="114" spans="1:10" ht="23.1" customHeight="1">
      <c r="A114" s="1" t="str">
        <f>IF(ISNUMBER(Lançamentos!A114),Lançamentos!A114,"")</f>
        <v/>
      </c>
      <c r="B114" s="1" t="str">
        <f>IF(Lançamentos!B114="","",Lançamentos!B114)</f>
        <v/>
      </c>
      <c r="C114" s="12" t="str">
        <f>IF(ISNUMBER(Lançamentos!C114),Lançamentos!C114,"")</f>
        <v/>
      </c>
      <c r="D114" s="10" t="str">
        <f>IF(A114="","",SUM(Lançamentos!D$9:D114))</f>
        <v/>
      </c>
      <c r="E114" s="1"/>
      <c r="F114" s="11" t="str">
        <f>IF(A114="","",SUM(Lançamentos!F$9:F114))</f>
        <v/>
      </c>
      <c r="G114" s="11" t="str">
        <f>IF(A114="","",SUM(Lançamentos!G$9:G114))</f>
        <v/>
      </c>
      <c r="H114" s="11" t="str">
        <f>IF(A114="","",SUM(Lançamentos!H$9:H114))</f>
        <v/>
      </c>
      <c r="I114" s="12" t="str">
        <f>IF(A114="","",SUM(Lançamentos!C$9:C114))</f>
        <v/>
      </c>
      <c r="J114" s="13" t="str">
        <f>IF(Lançamentos!J114="","",Lançamentos!J114)</f>
        <v/>
      </c>
    </row>
    <row r="115" spans="1:10" ht="23.1" customHeight="1">
      <c r="A115" s="1" t="str">
        <f>IF(ISNUMBER(Lançamentos!A115),Lançamentos!A115,"")</f>
        <v/>
      </c>
      <c r="B115" s="1" t="str">
        <f>IF(Lançamentos!B115="","",Lançamentos!B115)</f>
        <v/>
      </c>
      <c r="C115" s="12" t="str">
        <f>IF(ISNUMBER(Lançamentos!C115),Lançamentos!C115,"")</f>
        <v/>
      </c>
      <c r="D115" s="10" t="str">
        <f>IF(A115="","",SUM(Lançamentos!D$9:D115))</f>
        <v/>
      </c>
      <c r="E115" s="1"/>
      <c r="F115" s="11" t="str">
        <f>IF(A115="","",SUM(Lançamentos!F$9:F115))</f>
        <v/>
      </c>
      <c r="G115" s="11" t="str">
        <f>IF(A115="","",SUM(Lançamentos!G$9:G115))</f>
        <v/>
      </c>
      <c r="H115" s="11" t="str">
        <f>IF(A115="","",SUM(Lançamentos!H$9:H115))</f>
        <v/>
      </c>
      <c r="I115" s="12" t="str">
        <f>IF(A115="","",SUM(Lançamentos!C$9:C115))</f>
        <v/>
      </c>
      <c r="J115" s="13" t="str">
        <f>IF(Lançamentos!J115="","",Lançamentos!J115)</f>
        <v/>
      </c>
    </row>
    <row r="116" spans="1:10" ht="23.1" customHeight="1">
      <c r="A116" s="1" t="str">
        <f>IF(ISNUMBER(Lançamentos!A116),Lançamentos!A116,"")</f>
        <v/>
      </c>
      <c r="B116" s="1" t="str">
        <f>IF(Lançamentos!B116="","",Lançamentos!B116)</f>
        <v/>
      </c>
      <c r="C116" s="12" t="str">
        <f>IF(ISNUMBER(Lançamentos!C116),Lançamentos!C116,"")</f>
        <v/>
      </c>
      <c r="D116" s="10" t="str">
        <f>IF(A116="","",SUM(Lançamentos!D$9:D116))</f>
        <v/>
      </c>
      <c r="E116" s="1"/>
      <c r="F116" s="11" t="str">
        <f>IF(A116="","",SUM(Lançamentos!F$9:F116))</f>
        <v/>
      </c>
      <c r="G116" s="11" t="str">
        <f>IF(A116="","",SUM(Lançamentos!G$9:G116))</f>
        <v/>
      </c>
      <c r="H116" s="11" t="str">
        <f>IF(A116="","",SUM(Lançamentos!H$9:H116))</f>
        <v/>
      </c>
      <c r="I116" s="12" t="str">
        <f>IF(A116="","",SUM(Lançamentos!C$9:C116))</f>
        <v/>
      </c>
      <c r="J116" s="13" t="str">
        <f>IF(Lançamentos!J116="","",Lançamentos!J116)</f>
        <v/>
      </c>
    </row>
    <row r="117" spans="1:10" ht="23.1" customHeight="1">
      <c r="A117" s="1" t="str">
        <f>IF(ISNUMBER(Lançamentos!A117),Lançamentos!A117,"")</f>
        <v/>
      </c>
      <c r="B117" s="1" t="str">
        <f>IF(Lançamentos!B117="","",Lançamentos!B117)</f>
        <v/>
      </c>
      <c r="C117" s="12" t="str">
        <f>IF(ISNUMBER(Lançamentos!C117),Lançamentos!C117,"")</f>
        <v/>
      </c>
      <c r="D117" s="10" t="str">
        <f>IF(A117="","",SUM(Lançamentos!D$9:D117))</f>
        <v/>
      </c>
      <c r="E117" s="1"/>
      <c r="F117" s="11" t="str">
        <f>IF(A117="","",SUM(Lançamentos!F$9:F117))</f>
        <v/>
      </c>
      <c r="G117" s="11" t="str">
        <f>IF(A117="","",SUM(Lançamentos!G$9:G117))</f>
        <v/>
      </c>
      <c r="H117" s="11" t="str">
        <f>IF(A117="","",SUM(Lançamentos!H$9:H117))</f>
        <v/>
      </c>
      <c r="I117" s="12" t="str">
        <f>IF(A117="","",SUM(Lançamentos!C$9:C117))</f>
        <v/>
      </c>
      <c r="J117" s="13" t="str">
        <f>IF(Lançamentos!J117="","",Lançamentos!J117)</f>
        <v/>
      </c>
    </row>
    <row r="118" spans="1:10" ht="23.1" customHeight="1">
      <c r="A118" s="1" t="str">
        <f>IF(ISNUMBER(Lançamentos!A118),Lançamentos!A118,"")</f>
        <v/>
      </c>
      <c r="B118" s="1" t="str">
        <f>IF(Lançamentos!B118="","",Lançamentos!B118)</f>
        <v/>
      </c>
      <c r="C118" s="12" t="str">
        <f>IF(ISNUMBER(Lançamentos!C118),Lançamentos!C118,"")</f>
        <v/>
      </c>
      <c r="D118" s="10" t="str">
        <f>IF(A118="","",SUM(Lançamentos!D$9:D118))</f>
        <v/>
      </c>
      <c r="E118" s="1"/>
      <c r="F118" s="11" t="str">
        <f>IF(A118="","",SUM(Lançamentos!F$9:F118))</f>
        <v/>
      </c>
      <c r="G118" s="11" t="str">
        <f>IF(A118="","",SUM(Lançamentos!G$9:G118))</f>
        <v/>
      </c>
      <c r="H118" s="11" t="str">
        <f>IF(A118="","",SUM(Lançamentos!H$9:H118))</f>
        <v/>
      </c>
      <c r="I118" s="12" t="str">
        <f>IF(A118="","",SUM(Lançamentos!C$9:C118))</f>
        <v/>
      </c>
      <c r="J118" s="13" t="str">
        <f>IF(Lançamentos!J118="","",Lançamentos!J118)</f>
        <v/>
      </c>
    </row>
    <row r="119" spans="1:10" ht="23.1" customHeight="1">
      <c r="A119" s="1" t="str">
        <f>IF(ISNUMBER(Lançamentos!A119),Lançamentos!A119,"")</f>
        <v/>
      </c>
      <c r="B119" s="1" t="str">
        <f>IF(Lançamentos!B119="","",Lançamentos!B119)</f>
        <v/>
      </c>
      <c r="C119" s="12" t="str">
        <f>IF(ISNUMBER(Lançamentos!C119),Lançamentos!C119,"")</f>
        <v/>
      </c>
      <c r="D119" s="10" t="str">
        <f>IF(A119="","",SUM(Lançamentos!D$9:D119))</f>
        <v/>
      </c>
      <c r="E119" s="1"/>
      <c r="F119" s="11" t="str">
        <f>IF(A119="","",SUM(Lançamentos!F$9:F119))</f>
        <v/>
      </c>
      <c r="G119" s="11" t="str">
        <f>IF(A119="","",SUM(Lançamentos!G$9:G119))</f>
        <v/>
      </c>
      <c r="H119" s="11" t="str">
        <f>IF(A119="","",SUM(Lançamentos!H$9:H119))</f>
        <v/>
      </c>
      <c r="I119" s="12" t="str">
        <f>IF(A119="","",SUM(Lançamentos!C$9:C119))</f>
        <v/>
      </c>
      <c r="J119" s="13" t="str">
        <f>IF(Lançamentos!J119="","",Lançamentos!J119)</f>
        <v/>
      </c>
    </row>
    <row r="120" spans="1:10" ht="23.1" customHeight="1">
      <c r="A120" s="1" t="str">
        <f>IF(ISNUMBER(Lançamentos!A120),Lançamentos!A120,"")</f>
        <v/>
      </c>
      <c r="B120" s="1" t="str">
        <f>IF(Lançamentos!B120="","",Lançamentos!B120)</f>
        <v/>
      </c>
      <c r="C120" s="12" t="str">
        <f>IF(ISNUMBER(Lançamentos!C120),Lançamentos!C120,"")</f>
        <v/>
      </c>
      <c r="D120" s="10" t="str">
        <f>IF(A120="","",SUM(Lançamentos!D$9:D120))</f>
        <v/>
      </c>
      <c r="E120" s="1"/>
      <c r="F120" s="11" t="str">
        <f>IF(A120="","",SUM(Lançamentos!F$9:F120))</f>
        <v/>
      </c>
      <c r="G120" s="11" t="str">
        <f>IF(A120="","",SUM(Lançamentos!G$9:G120))</f>
        <v/>
      </c>
      <c r="H120" s="11" t="str">
        <f>IF(A120="","",SUM(Lançamentos!H$9:H120))</f>
        <v/>
      </c>
      <c r="I120" s="12" t="str">
        <f>IF(A120="","",SUM(Lançamentos!C$9:C120))</f>
        <v/>
      </c>
      <c r="J120" s="13" t="str">
        <f>IF(Lançamentos!J120="","",Lançamentos!J120)</f>
        <v/>
      </c>
    </row>
    <row r="121" spans="1:10" ht="23.1" customHeight="1">
      <c r="A121" s="1" t="str">
        <f>IF(ISNUMBER(Lançamentos!A121),Lançamentos!A121,"")</f>
        <v/>
      </c>
      <c r="B121" s="1" t="str">
        <f>IF(Lançamentos!B121="","",Lançamentos!B121)</f>
        <v/>
      </c>
      <c r="C121" s="12" t="str">
        <f>IF(ISNUMBER(Lançamentos!C121),Lançamentos!C121,"")</f>
        <v/>
      </c>
      <c r="D121" s="10" t="str">
        <f>IF(A121="","",SUM(Lançamentos!D$9:D121))</f>
        <v/>
      </c>
      <c r="E121" s="1"/>
      <c r="F121" s="11" t="str">
        <f>IF(A121="","",SUM(Lançamentos!F$9:F121))</f>
        <v/>
      </c>
      <c r="G121" s="11" t="str">
        <f>IF(A121="","",SUM(Lançamentos!G$9:G121))</f>
        <v/>
      </c>
      <c r="H121" s="11" t="str">
        <f>IF(A121="","",SUM(Lançamentos!H$9:H121))</f>
        <v/>
      </c>
      <c r="I121" s="12" t="str">
        <f>IF(A121="","",SUM(Lançamentos!C$9:C121))</f>
        <v/>
      </c>
      <c r="J121" s="13" t="str">
        <f>IF(Lançamentos!J121="","",Lançamentos!J121)</f>
        <v/>
      </c>
    </row>
    <row r="122" spans="1:10" ht="23.1" customHeight="1">
      <c r="A122" s="1" t="str">
        <f>IF(ISNUMBER(Lançamentos!A122),Lançamentos!A122,"")</f>
        <v/>
      </c>
      <c r="B122" s="1" t="str">
        <f>IF(Lançamentos!B122="","",Lançamentos!B122)</f>
        <v/>
      </c>
      <c r="C122" s="12" t="str">
        <f>IF(ISNUMBER(Lançamentos!C122),Lançamentos!C122,"")</f>
        <v/>
      </c>
      <c r="D122" s="10" t="str">
        <f>IF(A122="","",SUM(Lançamentos!D$9:D122))</f>
        <v/>
      </c>
      <c r="E122" s="1"/>
      <c r="F122" s="11" t="str">
        <f>IF(A122="","",SUM(Lançamentos!F$9:F122))</f>
        <v/>
      </c>
      <c r="G122" s="11" t="str">
        <f>IF(A122="","",SUM(Lançamentos!G$9:G122))</f>
        <v/>
      </c>
      <c r="H122" s="11" t="str">
        <f>IF(A122="","",SUM(Lançamentos!H$9:H122))</f>
        <v/>
      </c>
      <c r="I122" s="12" t="str">
        <f>IF(A122="","",SUM(Lançamentos!C$9:C122))</f>
        <v/>
      </c>
      <c r="J122" s="13" t="str">
        <f>IF(Lançamentos!J122="","",Lançamentos!J122)</f>
        <v/>
      </c>
    </row>
    <row r="123" spans="1:10" ht="23.1" customHeight="1">
      <c r="A123" s="1" t="str">
        <f>IF(ISNUMBER(Lançamentos!A123),Lançamentos!A123,"")</f>
        <v/>
      </c>
      <c r="B123" s="1" t="str">
        <f>IF(Lançamentos!B123="","",Lançamentos!B123)</f>
        <v/>
      </c>
      <c r="C123" s="12" t="str">
        <f>IF(ISNUMBER(Lançamentos!C123),Lançamentos!C123,"")</f>
        <v/>
      </c>
      <c r="D123" s="10" t="str">
        <f>IF(A123="","",SUM(Lançamentos!D$9:D123))</f>
        <v/>
      </c>
      <c r="E123" s="1"/>
      <c r="F123" s="11" t="str">
        <f>IF(A123="","",SUM(Lançamentos!F$9:F123))</f>
        <v/>
      </c>
      <c r="G123" s="11" t="str">
        <f>IF(A123="","",SUM(Lançamentos!G$9:G123))</f>
        <v/>
      </c>
      <c r="H123" s="11" t="str">
        <f>IF(A123="","",SUM(Lançamentos!H$9:H123))</f>
        <v/>
      </c>
      <c r="I123" s="12" t="str">
        <f>IF(A123="","",SUM(Lançamentos!C$9:C123))</f>
        <v/>
      </c>
      <c r="J123" s="13" t="str">
        <f>IF(Lançamentos!J123="","",Lançamentos!J123)</f>
        <v/>
      </c>
    </row>
    <row r="124" spans="1:10" ht="23.1" customHeight="1">
      <c r="A124" s="1" t="str">
        <f>IF(ISNUMBER(Lançamentos!A124),Lançamentos!A124,"")</f>
        <v/>
      </c>
      <c r="B124" s="1" t="str">
        <f>IF(Lançamentos!B124="","",Lançamentos!B124)</f>
        <v/>
      </c>
      <c r="C124" s="12" t="str">
        <f>IF(ISNUMBER(Lançamentos!C124),Lançamentos!C124,"")</f>
        <v/>
      </c>
      <c r="D124" s="10" t="str">
        <f>IF(A124="","",SUM(Lançamentos!D$9:D124))</f>
        <v/>
      </c>
      <c r="E124" s="1"/>
      <c r="F124" s="11" t="str">
        <f>IF(A124="","",SUM(Lançamentos!F$9:F124))</f>
        <v/>
      </c>
      <c r="G124" s="11" t="str">
        <f>IF(A124="","",SUM(Lançamentos!G$9:G124))</f>
        <v/>
      </c>
      <c r="H124" s="11" t="str">
        <f>IF(A124="","",SUM(Lançamentos!H$9:H124))</f>
        <v/>
      </c>
      <c r="I124" s="12" t="str">
        <f>IF(A124="","",SUM(Lançamentos!C$9:C124))</f>
        <v/>
      </c>
      <c r="J124" s="13" t="str">
        <f>IF(Lançamentos!J124="","",Lançamentos!J124)</f>
        <v/>
      </c>
    </row>
    <row r="125" spans="1:10" ht="23.1" customHeight="1">
      <c r="A125" s="1" t="str">
        <f>IF(ISNUMBER(Lançamentos!A125),Lançamentos!A125,"")</f>
        <v/>
      </c>
      <c r="B125" s="1" t="str">
        <f>IF(Lançamentos!B125="","",Lançamentos!B125)</f>
        <v/>
      </c>
      <c r="C125" s="12" t="str">
        <f>IF(ISNUMBER(Lançamentos!C125),Lançamentos!C125,"")</f>
        <v/>
      </c>
      <c r="D125" s="10" t="str">
        <f>IF(A125="","",SUM(Lançamentos!D$9:D125))</f>
        <v/>
      </c>
      <c r="E125" s="1"/>
      <c r="F125" s="11" t="str">
        <f>IF(A125="","",SUM(Lançamentos!F$9:F125))</f>
        <v/>
      </c>
      <c r="G125" s="11" t="str">
        <f>IF(A125="","",SUM(Lançamentos!G$9:G125))</f>
        <v/>
      </c>
      <c r="H125" s="11" t="str">
        <f>IF(A125="","",SUM(Lançamentos!H$9:H125))</f>
        <v/>
      </c>
      <c r="I125" s="12" t="str">
        <f>IF(A125="","",SUM(Lançamentos!C$9:C125))</f>
        <v/>
      </c>
      <c r="J125" s="13" t="str">
        <f>IF(Lançamentos!J125="","",Lançamentos!J125)</f>
        <v/>
      </c>
    </row>
    <row r="126" spans="1:10" ht="23.1" customHeight="1">
      <c r="A126" s="1" t="str">
        <f>IF(ISNUMBER(Lançamentos!A126),Lançamentos!A126,"")</f>
        <v/>
      </c>
      <c r="B126" s="1" t="str">
        <f>IF(Lançamentos!B126="","",Lançamentos!B126)</f>
        <v/>
      </c>
      <c r="C126" s="12" t="str">
        <f>IF(ISNUMBER(Lançamentos!C126),Lançamentos!C126,"")</f>
        <v/>
      </c>
      <c r="D126" s="10" t="str">
        <f>IF(A126="","",SUM(Lançamentos!D$9:D126))</f>
        <v/>
      </c>
      <c r="E126" s="1"/>
      <c r="F126" s="11" t="str">
        <f>IF(A126="","",SUM(Lançamentos!F$9:F126))</f>
        <v/>
      </c>
      <c r="G126" s="11" t="str">
        <f>IF(A126="","",SUM(Lançamentos!G$9:G126))</f>
        <v/>
      </c>
      <c r="H126" s="11" t="str">
        <f>IF(A126="","",SUM(Lançamentos!H$9:H126))</f>
        <v/>
      </c>
      <c r="I126" s="12" t="str">
        <f>IF(A126="","",SUM(Lançamentos!C$9:C126))</f>
        <v/>
      </c>
      <c r="J126" s="13" t="str">
        <f>IF(Lançamentos!J126="","",Lançamentos!J126)</f>
        <v/>
      </c>
    </row>
    <row r="127" spans="1:10" ht="23.1" customHeight="1">
      <c r="A127" s="1" t="str">
        <f>IF(ISNUMBER(Lançamentos!A127),Lançamentos!A127,"")</f>
        <v/>
      </c>
      <c r="B127" s="1" t="str">
        <f>IF(Lançamentos!B127="","",Lançamentos!B127)</f>
        <v/>
      </c>
      <c r="C127" s="12" t="str">
        <f>IF(ISNUMBER(Lançamentos!C127),Lançamentos!C127,"")</f>
        <v/>
      </c>
      <c r="D127" s="10" t="str">
        <f>IF(A127="","",SUM(Lançamentos!D$9:D127))</f>
        <v/>
      </c>
      <c r="E127" s="1"/>
      <c r="F127" s="11" t="str">
        <f>IF(A127="","",SUM(Lançamentos!F$9:F127))</f>
        <v/>
      </c>
      <c r="G127" s="11" t="str">
        <f>IF(A127="","",SUM(Lançamentos!G$9:G127))</f>
        <v/>
      </c>
      <c r="H127" s="11" t="str">
        <f>IF(A127="","",SUM(Lançamentos!H$9:H127))</f>
        <v/>
      </c>
      <c r="I127" s="12" t="str">
        <f>IF(A127="","",SUM(Lançamentos!C$9:C127))</f>
        <v/>
      </c>
      <c r="J127" s="13" t="str">
        <f>IF(Lançamentos!J127="","",Lançamentos!J127)</f>
        <v/>
      </c>
    </row>
    <row r="128" spans="1:10" ht="23.1" customHeight="1">
      <c r="A128" s="1" t="str">
        <f>IF(ISNUMBER(Lançamentos!A128),Lançamentos!A128,"")</f>
        <v/>
      </c>
      <c r="B128" s="1" t="str">
        <f>IF(Lançamentos!B128="","",Lançamentos!B128)</f>
        <v/>
      </c>
      <c r="C128" s="12" t="str">
        <f>IF(ISNUMBER(Lançamentos!C128),Lançamentos!C128,"")</f>
        <v/>
      </c>
      <c r="D128" s="10" t="str">
        <f>IF(A128="","",SUM(Lançamentos!D$9:D128))</f>
        <v/>
      </c>
      <c r="E128" s="1"/>
      <c r="F128" s="11" t="str">
        <f>IF(A128="","",SUM(Lançamentos!F$9:F128))</f>
        <v/>
      </c>
      <c r="G128" s="11" t="str">
        <f>IF(A128="","",SUM(Lançamentos!G$9:G128))</f>
        <v/>
      </c>
      <c r="H128" s="11" t="str">
        <f>IF(A128="","",SUM(Lançamentos!H$9:H128))</f>
        <v/>
      </c>
      <c r="I128" s="12" t="str">
        <f>IF(A128="","",SUM(Lançamentos!C$9:C128))</f>
        <v/>
      </c>
      <c r="J128" s="13" t="str">
        <f>IF(Lançamentos!J128="","",Lançamentos!J128)</f>
        <v/>
      </c>
    </row>
    <row r="129" spans="1:10" ht="23.1" customHeight="1">
      <c r="A129" s="1" t="str">
        <f>IF(ISNUMBER(Lançamentos!A129),Lançamentos!A129,"")</f>
        <v/>
      </c>
      <c r="B129" s="1" t="str">
        <f>IF(Lançamentos!B129="","",Lançamentos!B129)</f>
        <v/>
      </c>
      <c r="C129" s="12" t="str">
        <f>IF(ISNUMBER(Lançamentos!C129),Lançamentos!C129,"")</f>
        <v/>
      </c>
      <c r="D129" s="10" t="str">
        <f>IF(A129="","",SUM(Lançamentos!D$9:D129))</f>
        <v/>
      </c>
      <c r="E129" s="1"/>
      <c r="F129" s="11" t="str">
        <f>IF(A129="","",SUM(Lançamentos!F$9:F129))</f>
        <v/>
      </c>
      <c r="G129" s="11" t="str">
        <f>IF(A129="","",SUM(Lançamentos!G$9:G129))</f>
        <v/>
      </c>
      <c r="H129" s="11" t="str">
        <f>IF(A129="","",SUM(Lançamentos!H$9:H129))</f>
        <v/>
      </c>
      <c r="I129" s="12" t="str">
        <f>IF(A129="","",SUM(Lançamentos!C$9:C129))</f>
        <v/>
      </c>
      <c r="J129" s="13" t="str">
        <f>IF(Lançamentos!J129="","",Lançamentos!J129)</f>
        <v/>
      </c>
    </row>
    <row r="130" spans="1:10" ht="23.1" customHeight="1">
      <c r="A130" s="1" t="str">
        <f>IF(ISNUMBER(Lançamentos!A130),Lançamentos!A130,"")</f>
        <v/>
      </c>
      <c r="B130" s="1" t="str">
        <f>IF(Lançamentos!B130="","",Lançamentos!B130)</f>
        <v/>
      </c>
      <c r="C130" s="12" t="str">
        <f>IF(ISNUMBER(Lançamentos!C130),Lançamentos!C130,"")</f>
        <v/>
      </c>
      <c r="D130" s="10" t="str">
        <f>IF(A130="","",SUM(Lançamentos!D$9:D130))</f>
        <v/>
      </c>
      <c r="E130" s="1"/>
      <c r="F130" s="11" t="str">
        <f>IF(A130="","",SUM(Lançamentos!F$9:F130))</f>
        <v/>
      </c>
      <c r="G130" s="11" t="str">
        <f>IF(A130="","",SUM(Lançamentos!G$9:G130))</f>
        <v/>
      </c>
      <c r="H130" s="11" t="str">
        <f>IF(A130="","",SUM(Lançamentos!H$9:H130))</f>
        <v/>
      </c>
      <c r="I130" s="12" t="str">
        <f>IF(A130="","",SUM(Lançamentos!C$9:C130))</f>
        <v/>
      </c>
      <c r="J130" s="13" t="str">
        <f>IF(Lançamentos!J130="","",Lançamentos!J130)</f>
        <v/>
      </c>
    </row>
    <row r="131" spans="1:10" ht="23.1" customHeight="1">
      <c r="A131" s="1" t="str">
        <f>IF(ISNUMBER(Lançamentos!A131),Lançamentos!A131,"")</f>
        <v/>
      </c>
      <c r="B131" s="1" t="str">
        <f>IF(Lançamentos!B131="","",Lançamentos!B131)</f>
        <v/>
      </c>
      <c r="C131" s="12" t="str">
        <f>IF(ISNUMBER(Lançamentos!C131),Lançamentos!C131,"")</f>
        <v/>
      </c>
      <c r="D131" s="10" t="str">
        <f>IF(A131="","",SUM(Lançamentos!D$9:D131))</f>
        <v/>
      </c>
      <c r="E131" s="1"/>
      <c r="F131" s="11" t="str">
        <f>IF(A131="","",SUM(Lançamentos!F$9:F131))</f>
        <v/>
      </c>
      <c r="G131" s="11" t="str">
        <f>IF(A131="","",SUM(Lançamentos!G$9:G131))</f>
        <v/>
      </c>
      <c r="H131" s="11" t="str">
        <f>IF(A131="","",SUM(Lançamentos!H$9:H131))</f>
        <v/>
      </c>
      <c r="I131" s="12" t="str">
        <f>IF(A131="","",SUM(Lançamentos!C$9:C131))</f>
        <v/>
      </c>
      <c r="J131" s="13" t="str">
        <f>IF(Lançamentos!J131="","",Lançamentos!J131)</f>
        <v/>
      </c>
    </row>
    <row r="132" spans="1:10" ht="23.1" customHeight="1">
      <c r="A132" s="1" t="str">
        <f>IF(ISNUMBER(Lançamentos!A132),Lançamentos!A132,"")</f>
        <v/>
      </c>
      <c r="B132" s="1" t="str">
        <f>IF(Lançamentos!B132="","",Lançamentos!B132)</f>
        <v/>
      </c>
      <c r="C132" s="12" t="str">
        <f>IF(ISNUMBER(Lançamentos!C132),Lançamentos!C132,"")</f>
        <v/>
      </c>
      <c r="D132" s="10" t="str">
        <f>IF(A132="","",SUM(Lançamentos!D$9:D132))</f>
        <v/>
      </c>
      <c r="E132" s="1"/>
      <c r="F132" s="11" t="str">
        <f>IF(A132="","",SUM(Lançamentos!F$9:F132))</f>
        <v/>
      </c>
      <c r="G132" s="11" t="str">
        <f>IF(A132="","",SUM(Lançamentos!G$9:G132))</f>
        <v/>
      </c>
      <c r="H132" s="11" t="str">
        <f>IF(A132="","",SUM(Lançamentos!H$9:H132))</f>
        <v/>
      </c>
      <c r="I132" s="12" t="str">
        <f>IF(A132="","",SUM(Lançamentos!C$9:C132))</f>
        <v/>
      </c>
      <c r="J132" s="13" t="str">
        <f>IF(Lançamentos!J132="","",Lançamentos!J132)</f>
        <v/>
      </c>
    </row>
    <row r="133" spans="1:10" ht="23.1" customHeight="1">
      <c r="A133" s="1" t="str">
        <f>IF(ISNUMBER(Lançamentos!A133),Lançamentos!A133,"")</f>
        <v/>
      </c>
      <c r="B133" s="1" t="str">
        <f>IF(Lançamentos!B133="","",Lançamentos!B133)</f>
        <v/>
      </c>
      <c r="C133" s="12" t="str">
        <f>IF(ISNUMBER(Lançamentos!C133),Lançamentos!C133,"")</f>
        <v/>
      </c>
      <c r="D133" s="10" t="str">
        <f>IF(A133="","",SUM(Lançamentos!D$9:D133))</f>
        <v/>
      </c>
      <c r="E133" s="1"/>
      <c r="F133" s="11" t="str">
        <f>IF(A133="","",SUM(Lançamentos!F$9:F133))</f>
        <v/>
      </c>
      <c r="G133" s="11" t="str">
        <f>IF(A133="","",SUM(Lançamentos!G$9:G133))</f>
        <v/>
      </c>
      <c r="H133" s="11" t="str">
        <f>IF(A133="","",SUM(Lançamentos!H$9:H133))</f>
        <v/>
      </c>
      <c r="I133" s="12" t="str">
        <f>IF(A133="","",SUM(Lançamentos!C$9:C133))</f>
        <v/>
      </c>
      <c r="J133" s="13" t="str">
        <f>IF(Lançamentos!J133="","",Lançamentos!J133)</f>
        <v/>
      </c>
    </row>
    <row r="134" spans="1:10" ht="23.1" customHeight="1">
      <c r="A134" s="1" t="str">
        <f>IF(ISNUMBER(Lançamentos!A134),Lançamentos!A134,"")</f>
        <v/>
      </c>
      <c r="B134" s="1" t="str">
        <f>IF(Lançamentos!B134="","",Lançamentos!B134)</f>
        <v/>
      </c>
      <c r="C134" s="12" t="str">
        <f>IF(ISNUMBER(Lançamentos!C134),Lançamentos!C134,"")</f>
        <v/>
      </c>
      <c r="D134" s="10" t="str">
        <f>IF(A134="","",SUM(Lançamentos!D$9:D134))</f>
        <v/>
      </c>
      <c r="E134" s="1"/>
      <c r="F134" s="11" t="str">
        <f>IF(A134="","",SUM(Lançamentos!F$9:F134))</f>
        <v/>
      </c>
      <c r="G134" s="11" t="str">
        <f>IF(A134="","",SUM(Lançamentos!G$9:G134))</f>
        <v/>
      </c>
      <c r="H134" s="11" t="str">
        <f>IF(A134="","",SUM(Lançamentos!H$9:H134))</f>
        <v/>
      </c>
      <c r="I134" s="12" t="str">
        <f>IF(A134="","",SUM(Lançamentos!C$9:C134))</f>
        <v/>
      </c>
      <c r="J134" s="13" t="str">
        <f>IF(Lançamentos!J134="","",Lançamentos!J134)</f>
        <v/>
      </c>
    </row>
    <row r="135" spans="1:10" ht="23.1" customHeight="1">
      <c r="A135" s="1" t="str">
        <f>IF(ISNUMBER(Lançamentos!A135),Lançamentos!A135,"")</f>
        <v/>
      </c>
      <c r="B135" s="1" t="str">
        <f>IF(Lançamentos!B135="","",Lançamentos!B135)</f>
        <v/>
      </c>
      <c r="C135" s="12" t="str">
        <f>IF(ISNUMBER(Lançamentos!C135),Lançamentos!C135,"")</f>
        <v/>
      </c>
      <c r="D135" s="10" t="str">
        <f>IF(A135="","",SUM(Lançamentos!D$9:D135))</f>
        <v/>
      </c>
      <c r="E135" s="1"/>
      <c r="F135" s="11" t="str">
        <f>IF(A135="","",SUM(Lançamentos!F$9:F135))</f>
        <v/>
      </c>
      <c r="G135" s="11" t="str">
        <f>IF(A135="","",SUM(Lançamentos!G$9:G135))</f>
        <v/>
      </c>
      <c r="H135" s="11" t="str">
        <f>IF(A135="","",SUM(Lançamentos!H$9:H135))</f>
        <v/>
      </c>
      <c r="I135" s="12" t="str">
        <f>IF(A135="","",SUM(Lançamentos!C$9:C135))</f>
        <v/>
      </c>
      <c r="J135" s="13" t="str">
        <f>IF(Lançamentos!J135="","",Lançamentos!J135)</f>
        <v/>
      </c>
    </row>
    <row r="136" spans="1:10" ht="23.1" customHeight="1">
      <c r="A136" s="1" t="str">
        <f>IF(ISNUMBER(Lançamentos!A136),Lançamentos!A136,"")</f>
        <v/>
      </c>
      <c r="B136" s="1" t="str">
        <f>IF(Lançamentos!B136="","",Lançamentos!B136)</f>
        <v/>
      </c>
      <c r="C136" s="12" t="str">
        <f>IF(ISNUMBER(Lançamentos!C136),Lançamentos!C136,"")</f>
        <v/>
      </c>
      <c r="D136" s="10" t="str">
        <f>IF(A136="","",SUM(Lançamentos!D$9:D136))</f>
        <v/>
      </c>
      <c r="E136" s="1"/>
      <c r="F136" s="11" t="str">
        <f>IF(A136="","",SUM(Lançamentos!F$9:F136))</f>
        <v/>
      </c>
      <c r="G136" s="11" t="str">
        <f>IF(A136="","",SUM(Lançamentos!G$9:G136))</f>
        <v/>
      </c>
      <c r="H136" s="11" t="str">
        <f>IF(A136="","",SUM(Lançamentos!H$9:H136))</f>
        <v/>
      </c>
      <c r="I136" s="12" t="str">
        <f>IF(A136="","",SUM(Lançamentos!C$9:C136))</f>
        <v/>
      </c>
      <c r="J136" s="13" t="str">
        <f>IF(Lançamentos!J136="","",Lançamentos!J136)</f>
        <v/>
      </c>
    </row>
    <row r="137" spans="1:10" ht="23.1" customHeight="1">
      <c r="A137" s="1" t="str">
        <f>IF(ISNUMBER(Lançamentos!A137),Lançamentos!A137,"")</f>
        <v/>
      </c>
      <c r="B137" s="1" t="str">
        <f>IF(Lançamentos!B137="","",Lançamentos!B137)</f>
        <v/>
      </c>
      <c r="C137" s="12" t="str">
        <f>IF(ISNUMBER(Lançamentos!C137),Lançamentos!C137,"")</f>
        <v/>
      </c>
      <c r="D137" s="10" t="str">
        <f>IF(A137="","",SUM(Lançamentos!D$9:D137))</f>
        <v/>
      </c>
      <c r="E137" s="1"/>
      <c r="F137" s="11" t="str">
        <f>IF(A137="","",SUM(Lançamentos!F$9:F137))</f>
        <v/>
      </c>
      <c r="G137" s="11" t="str">
        <f>IF(A137="","",SUM(Lançamentos!G$9:G137))</f>
        <v/>
      </c>
      <c r="H137" s="11" t="str">
        <f>IF(A137="","",SUM(Lançamentos!H$9:H137))</f>
        <v/>
      </c>
      <c r="I137" s="12" t="str">
        <f>IF(A137="","",SUM(Lançamentos!C$9:C137))</f>
        <v/>
      </c>
      <c r="J137" s="13" t="str">
        <f>IF(Lançamentos!J137="","",Lançamentos!J137)</f>
        <v/>
      </c>
    </row>
    <row r="138" spans="1:10" ht="23.1" customHeight="1">
      <c r="A138" s="1" t="str">
        <f>IF(ISNUMBER(Lançamentos!A138),Lançamentos!A138,"")</f>
        <v/>
      </c>
      <c r="B138" s="1" t="str">
        <f>IF(Lançamentos!B138="","",Lançamentos!B138)</f>
        <v/>
      </c>
      <c r="C138" s="12" t="str">
        <f>IF(ISNUMBER(Lançamentos!C138),Lançamentos!C138,"")</f>
        <v/>
      </c>
      <c r="D138" s="10" t="str">
        <f>IF(A138="","",SUM(Lançamentos!D$9:D138))</f>
        <v/>
      </c>
      <c r="E138" s="1"/>
      <c r="F138" s="11" t="str">
        <f>IF(A138="","",SUM(Lançamentos!F$9:F138))</f>
        <v/>
      </c>
      <c r="G138" s="11" t="str">
        <f>IF(A138="","",SUM(Lançamentos!G$9:G138))</f>
        <v/>
      </c>
      <c r="H138" s="11" t="str">
        <f>IF(A138="","",SUM(Lançamentos!H$9:H138))</f>
        <v/>
      </c>
      <c r="I138" s="12" t="str">
        <f>IF(A138="","",SUM(Lançamentos!C$9:C138))</f>
        <v/>
      </c>
      <c r="J138" s="13" t="str">
        <f>IF(Lançamentos!J138="","",Lançamentos!J138)</f>
        <v/>
      </c>
    </row>
    <row r="139" spans="1:10" ht="23.1" customHeight="1">
      <c r="A139" s="1" t="str">
        <f>IF(ISNUMBER(Lançamentos!A139),Lançamentos!A139,"")</f>
        <v/>
      </c>
      <c r="B139" s="1" t="str">
        <f>IF(Lançamentos!B139="","",Lançamentos!B139)</f>
        <v/>
      </c>
      <c r="C139" s="12" t="str">
        <f>IF(ISNUMBER(Lançamentos!C139),Lançamentos!C139,"")</f>
        <v/>
      </c>
      <c r="D139" s="10" t="str">
        <f>IF(A139="","",SUM(Lançamentos!D$9:D139))</f>
        <v/>
      </c>
      <c r="E139" s="1"/>
      <c r="F139" s="11" t="str">
        <f>IF(A139="","",SUM(Lançamentos!F$9:F139))</f>
        <v/>
      </c>
      <c r="G139" s="11" t="str">
        <f>IF(A139="","",SUM(Lançamentos!G$9:G139))</f>
        <v/>
      </c>
      <c r="H139" s="11" t="str">
        <f>IF(A139="","",SUM(Lançamentos!H$9:H139))</f>
        <v/>
      </c>
      <c r="I139" s="12" t="str">
        <f>IF(A139="","",SUM(Lançamentos!C$9:C139))</f>
        <v/>
      </c>
      <c r="J139" s="13" t="str">
        <f>IF(Lançamentos!J139="","",Lançamentos!J139)</f>
        <v/>
      </c>
    </row>
    <row r="140" spans="1:10" ht="23.1" customHeight="1">
      <c r="A140" s="1" t="str">
        <f>IF(ISNUMBER(Lançamentos!A140),Lançamentos!A140,"")</f>
        <v/>
      </c>
      <c r="B140" s="1" t="str">
        <f>IF(Lançamentos!B140="","",Lançamentos!B140)</f>
        <v/>
      </c>
      <c r="C140" s="12" t="str">
        <f>IF(ISNUMBER(Lançamentos!C140),Lançamentos!C140,"")</f>
        <v/>
      </c>
      <c r="D140" s="10" t="str">
        <f>IF(A140="","",SUM(Lançamentos!D$9:D140))</f>
        <v/>
      </c>
      <c r="E140" s="1"/>
      <c r="F140" s="11" t="str">
        <f>IF(A140="","",SUM(Lançamentos!F$9:F140))</f>
        <v/>
      </c>
      <c r="G140" s="11" t="str">
        <f>IF(A140="","",SUM(Lançamentos!G$9:G140))</f>
        <v/>
      </c>
      <c r="H140" s="11" t="str">
        <f>IF(A140="","",SUM(Lançamentos!H$9:H140))</f>
        <v/>
      </c>
      <c r="I140" s="12" t="str">
        <f>IF(A140="","",SUM(Lançamentos!C$9:C140))</f>
        <v/>
      </c>
      <c r="J140" s="13" t="str">
        <f>IF(Lançamentos!J140="","",Lançamentos!J140)</f>
        <v/>
      </c>
    </row>
    <row r="141" spans="1:10" ht="23.1" customHeight="1">
      <c r="A141" s="1" t="str">
        <f>IF(ISNUMBER(Lançamentos!A141),Lançamentos!A141,"")</f>
        <v/>
      </c>
      <c r="B141" s="1" t="str">
        <f>IF(Lançamentos!B141="","",Lançamentos!B141)</f>
        <v/>
      </c>
      <c r="C141" s="12" t="str">
        <f>IF(ISNUMBER(Lançamentos!C141),Lançamentos!C141,"")</f>
        <v/>
      </c>
      <c r="D141" s="10" t="str">
        <f>IF(A141="","",SUM(Lançamentos!D$9:D141))</f>
        <v/>
      </c>
      <c r="E141" s="1"/>
      <c r="F141" s="11" t="str">
        <f>IF(A141="","",SUM(Lançamentos!F$9:F141))</f>
        <v/>
      </c>
      <c r="G141" s="11" t="str">
        <f>IF(A141="","",SUM(Lançamentos!G$9:G141))</f>
        <v/>
      </c>
      <c r="H141" s="11" t="str">
        <f>IF(A141="","",SUM(Lançamentos!H$9:H141))</f>
        <v/>
      </c>
      <c r="I141" s="12" t="str">
        <f>IF(A141="","",SUM(Lançamentos!C$9:C141))</f>
        <v/>
      </c>
      <c r="J141" s="13" t="str">
        <f>IF(Lançamentos!J141="","",Lançamentos!J141)</f>
        <v/>
      </c>
    </row>
    <row r="142" spans="1:10" ht="23.1" customHeight="1">
      <c r="A142" s="1" t="str">
        <f>IF(ISNUMBER(Lançamentos!A142),Lançamentos!A142,"")</f>
        <v/>
      </c>
      <c r="B142" s="1" t="str">
        <f>IF(Lançamentos!B142="","",Lançamentos!B142)</f>
        <v/>
      </c>
      <c r="C142" s="12" t="str">
        <f>IF(ISNUMBER(Lançamentos!C142),Lançamentos!C142,"")</f>
        <v/>
      </c>
      <c r="D142" s="10" t="str">
        <f>IF(A142="","",SUM(Lançamentos!D$9:D142))</f>
        <v/>
      </c>
      <c r="E142" s="1"/>
      <c r="F142" s="11" t="str">
        <f>IF(A142="","",SUM(Lançamentos!F$9:F142))</f>
        <v/>
      </c>
      <c r="G142" s="11" t="str">
        <f>IF(A142="","",SUM(Lançamentos!G$9:G142))</f>
        <v/>
      </c>
      <c r="H142" s="11" t="str">
        <f>IF(A142="","",SUM(Lançamentos!H$9:H142))</f>
        <v/>
      </c>
      <c r="I142" s="12" t="str">
        <f>IF(A142="","",SUM(Lançamentos!C$9:C142))</f>
        <v/>
      </c>
      <c r="J142" s="13" t="str">
        <f>IF(Lançamentos!J142="","",Lançamentos!J142)</f>
        <v/>
      </c>
    </row>
    <row r="143" spans="1:10" ht="23.1" customHeight="1">
      <c r="A143" s="1" t="str">
        <f>IF(ISNUMBER(Lançamentos!A143),Lançamentos!A143,"")</f>
        <v/>
      </c>
      <c r="B143" s="1" t="str">
        <f>IF(Lançamentos!B143="","",Lançamentos!B143)</f>
        <v/>
      </c>
      <c r="C143" s="12" t="str">
        <f>IF(ISNUMBER(Lançamentos!C143),Lançamentos!C143,"")</f>
        <v/>
      </c>
      <c r="D143" s="10" t="str">
        <f>IF(A143="","",SUM(Lançamentos!D$9:D143))</f>
        <v/>
      </c>
      <c r="E143" s="1"/>
      <c r="F143" s="11" t="str">
        <f>IF(A143="","",SUM(Lançamentos!F$9:F143))</f>
        <v/>
      </c>
      <c r="G143" s="11" t="str">
        <f>IF(A143="","",SUM(Lançamentos!G$9:G143))</f>
        <v/>
      </c>
      <c r="H143" s="11" t="str">
        <f>IF(A143="","",SUM(Lançamentos!H$9:H143))</f>
        <v/>
      </c>
      <c r="I143" s="12" t="str">
        <f>IF(A143="","",SUM(Lançamentos!C$9:C143))</f>
        <v/>
      </c>
      <c r="J143" s="13" t="str">
        <f>IF(Lançamentos!J143="","",Lançamentos!J143)</f>
        <v/>
      </c>
    </row>
    <row r="144" spans="1:10" ht="23.1" customHeight="1">
      <c r="A144" s="1" t="str">
        <f>IF(ISNUMBER(Lançamentos!A144),Lançamentos!A144,"")</f>
        <v/>
      </c>
      <c r="B144" s="1" t="str">
        <f>IF(Lançamentos!B144="","",Lançamentos!B144)</f>
        <v/>
      </c>
      <c r="C144" s="12" t="str">
        <f>IF(ISNUMBER(Lançamentos!C144),Lançamentos!C144,"")</f>
        <v/>
      </c>
      <c r="D144" s="10" t="str">
        <f>IF(A144="","",SUM(Lançamentos!D$9:D144))</f>
        <v/>
      </c>
      <c r="E144" s="1"/>
      <c r="F144" s="11" t="str">
        <f>IF(A144="","",SUM(Lançamentos!F$9:F144))</f>
        <v/>
      </c>
      <c r="G144" s="11" t="str">
        <f>IF(A144="","",SUM(Lançamentos!G$9:G144))</f>
        <v/>
      </c>
      <c r="H144" s="11" t="str">
        <f>IF(A144="","",SUM(Lançamentos!H$9:H144))</f>
        <v/>
      </c>
      <c r="I144" s="12" t="str">
        <f>IF(A144="","",SUM(Lançamentos!C$9:C144))</f>
        <v/>
      </c>
      <c r="J144" s="13" t="str">
        <f>IF(Lançamentos!J144="","",Lançamentos!J144)</f>
        <v/>
      </c>
    </row>
    <row r="145" spans="1:10" ht="23.1" customHeight="1">
      <c r="A145" s="1" t="str">
        <f>IF(ISNUMBER(Lançamentos!A145),Lançamentos!A145,"")</f>
        <v/>
      </c>
      <c r="B145" s="1" t="str">
        <f>IF(Lançamentos!B145="","",Lançamentos!B145)</f>
        <v/>
      </c>
      <c r="C145" s="12" t="str">
        <f>IF(ISNUMBER(Lançamentos!C145),Lançamentos!C145,"")</f>
        <v/>
      </c>
      <c r="D145" s="10" t="str">
        <f>IF(A145="","",SUM(Lançamentos!D$9:D145))</f>
        <v/>
      </c>
      <c r="E145" s="1"/>
      <c r="F145" s="11" t="str">
        <f>IF(A145="","",SUM(Lançamentos!F$9:F145))</f>
        <v/>
      </c>
      <c r="G145" s="11" t="str">
        <f>IF(A145="","",SUM(Lançamentos!G$9:G145))</f>
        <v/>
      </c>
      <c r="H145" s="11" t="str">
        <f>IF(A145="","",SUM(Lançamentos!H$9:H145))</f>
        <v/>
      </c>
      <c r="I145" s="12" t="str">
        <f>IF(A145="","",SUM(Lançamentos!C$9:C145))</f>
        <v/>
      </c>
      <c r="J145" s="13" t="str">
        <f>IF(Lançamentos!J145="","",Lançamentos!J145)</f>
        <v/>
      </c>
    </row>
    <row r="146" spans="1:10" ht="23.1" customHeight="1">
      <c r="A146" s="1" t="str">
        <f>IF(ISNUMBER(Lançamentos!A146),Lançamentos!A146,"")</f>
        <v/>
      </c>
      <c r="B146" s="1" t="str">
        <f>IF(Lançamentos!B146="","",Lançamentos!B146)</f>
        <v/>
      </c>
      <c r="C146" s="12" t="str">
        <f>IF(ISNUMBER(Lançamentos!C146),Lançamentos!C146,"")</f>
        <v/>
      </c>
      <c r="D146" s="10" t="str">
        <f>IF(A146="","",SUM(Lançamentos!D$9:D146))</f>
        <v/>
      </c>
      <c r="E146" s="1"/>
      <c r="F146" s="11" t="str">
        <f>IF(A146="","",SUM(Lançamentos!F$9:F146))</f>
        <v/>
      </c>
      <c r="G146" s="11" t="str">
        <f>IF(A146="","",SUM(Lançamentos!G$9:G146))</f>
        <v/>
      </c>
      <c r="H146" s="11" t="str">
        <f>IF(A146="","",SUM(Lançamentos!H$9:H146))</f>
        <v/>
      </c>
      <c r="I146" s="12" t="str">
        <f>IF(A146="","",SUM(Lançamentos!C$9:C146))</f>
        <v/>
      </c>
      <c r="J146" s="13" t="str">
        <f>IF(Lançamentos!J146="","",Lançamentos!J146)</f>
        <v/>
      </c>
    </row>
    <row r="147" spans="1:10" ht="23.1" customHeight="1">
      <c r="A147" s="1" t="str">
        <f>IF(ISNUMBER(Lançamentos!A147),Lançamentos!A147,"")</f>
        <v/>
      </c>
      <c r="B147" s="1" t="str">
        <f>IF(Lançamentos!B147="","",Lançamentos!B147)</f>
        <v/>
      </c>
      <c r="C147" s="12" t="str">
        <f>IF(ISNUMBER(Lançamentos!C147),Lançamentos!C147,"")</f>
        <v/>
      </c>
      <c r="D147" s="10" t="str">
        <f>IF(A147="","",SUM(Lançamentos!D$9:D147))</f>
        <v/>
      </c>
      <c r="E147" s="1"/>
      <c r="F147" s="11" t="str">
        <f>IF(A147="","",SUM(Lançamentos!F$9:F147))</f>
        <v/>
      </c>
      <c r="G147" s="11" t="str">
        <f>IF(A147="","",SUM(Lançamentos!G$9:G147))</f>
        <v/>
      </c>
      <c r="H147" s="11" t="str">
        <f>IF(A147="","",SUM(Lançamentos!H$9:H147))</f>
        <v/>
      </c>
      <c r="I147" s="12" t="str">
        <f>IF(A147="","",SUM(Lançamentos!C$9:C147))</f>
        <v/>
      </c>
      <c r="J147" s="13" t="str">
        <f>IF(Lançamentos!J147="","",Lançamentos!J147)</f>
        <v/>
      </c>
    </row>
    <row r="148" spans="1:10" ht="23.1" customHeight="1">
      <c r="A148" s="1" t="str">
        <f>IF(ISNUMBER(Lançamentos!A148),Lançamentos!A148,"")</f>
        <v/>
      </c>
      <c r="B148" s="1" t="str">
        <f>IF(Lançamentos!B148="","",Lançamentos!B148)</f>
        <v/>
      </c>
      <c r="C148" s="12" t="str">
        <f>IF(ISNUMBER(Lançamentos!C148),Lançamentos!C148,"")</f>
        <v/>
      </c>
      <c r="D148" s="10" t="str">
        <f>IF(A148="","",SUM(Lançamentos!D$9:D148))</f>
        <v/>
      </c>
      <c r="E148" s="1"/>
      <c r="F148" s="11" t="str">
        <f>IF(A148="","",SUM(Lançamentos!F$9:F148))</f>
        <v/>
      </c>
      <c r="G148" s="11" t="str">
        <f>IF(A148="","",SUM(Lançamentos!G$9:G148))</f>
        <v/>
      </c>
      <c r="H148" s="11" t="str">
        <f>IF(A148="","",SUM(Lançamentos!H$9:H148))</f>
        <v/>
      </c>
      <c r="I148" s="12" t="str">
        <f>IF(A148="","",SUM(Lançamentos!C$9:C148))</f>
        <v/>
      </c>
      <c r="J148" s="13" t="str">
        <f>IF(Lançamentos!J148="","",Lançamentos!J148)</f>
        <v/>
      </c>
    </row>
    <row r="149" spans="1:10" ht="23.1" customHeight="1">
      <c r="A149" s="1" t="str">
        <f>IF(ISNUMBER(Lançamentos!A149),Lançamentos!A149,"")</f>
        <v/>
      </c>
      <c r="B149" s="1" t="str">
        <f>IF(Lançamentos!B149="","",Lançamentos!B149)</f>
        <v/>
      </c>
      <c r="C149" s="12" t="str">
        <f>IF(ISNUMBER(Lançamentos!C149),Lançamentos!C149,"")</f>
        <v/>
      </c>
      <c r="D149" s="10" t="str">
        <f>IF(A149="","",SUM(Lançamentos!D$9:D149))</f>
        <v/>
      </c>
      <c r="E149" s="1"/>
      <c r="F149" s="11" t="str">
        <f>IF(A149="","",SUM(Lançamentos!F$9:F149))</f>
        <v/>
      </c>
      <c r="G149" s="11" t="str">
        <f>IF(A149="","",SUM(Lançamentos!G$9:G149))</f>
        <v/>
      </c>
      <c r="H149" s="11" t="str">
        <f>IF(A149="","",SUM(Lançamentos!H$9:H149))</f>
        <v/>
      </c>
      <c r="I149" s="12" t="str">
        <f>IF(A149="","",SUM(Lançamentos!C$9:C149))</f>
        <v/>
      </c>
      <c r="J149" s="13" t="str">
        <f>IF(Lançamentos!J149="","",Lançamentos!J149)</f>
        <v/>
      </c>
    </row>
    <row r="150" spans="1:10" ht="23.1" customHeight="1">
      <c r="A150" s="1" t="str">
        <f>IF(ISNUMBER(Lançamentos!A150),Lançamentos!A150,"")</f>
        <v/>
      </c>
      <c r="B150" s="1" t="str">
        <f>IF(Lançamentos!B150="","",Lançamentos!B150)</f>
        <v/>
      </c>
      <c r="C150" s="12" t="str">
        <f>IF(ISNUMBER(Lançamentos!C150),Lançamentos!C150,"")</f>
        <v/>
      </c>
      <c r="D150" s="10" t="str">
        <f>IF(A150="","",SUM(Lançamentos!D$9:D150))</f>
        <v/>
      </c>
      <c r="E150" s="1"/>
      <c r="F150" s="11" t="str">
        <f>IF(A150="","",SUM(Lançamentos!F$9:F150))</f>
        <v/>
      </c>
      <c r="G150" s="11" t="str">
        <f>IF(A150="","",SUM(Lançamentos!G$9:G150))</f>
        <v/>
      </c>
      <c r="H150" s="11" t="str">
        <f>IF(A150="","",SUM(Lançamentos!H$9:H150))</f>
        <v/>
      </c>
      <c r="I150" s="12" t="str">
        <f>IF(A150="","",SUM(Lançamentos!C$9:C150))</f>
        <v/>
      </c>
      <c r="J150" s="13" t="str">
        <f>IF(Lançamentos!J150="","",Lançamentos!J150)</f>
        <v/>
      </c>
    </row>
    <row r="151" spans="1:10" ht="23.1" customHeight="1">
      <c r="A151" s="1" t="str">
        <f>IF(ISNUMBER(Lançamentos!A151),Lançamentos!A151,"")</f>
        <v/>
      </c>
      <c r="B151" s="1" t="str">
        <f>IF(Lançamentos!B151="","",Lançamentos!B151)</f>
        <v/>
      </c>
      <c r="C151" s="12" t="str">
        <f>IF(ISNUMBER(Lançamentos!C151),Lançamentos!C151,"")</f>
        <v/>
      </c>
      <c r="D151" s="10" t="str">
        <f>IF(A151="","",SUM(Lançamentos!D$9:D151))</f>
        <v/>
      </c>
      <c r="E151" s="1"/>
      <c r="F151" s="11" t="str">
        <f>IF(A151="","",SUM(Lançamentos!F$9:F151))</f>
        <v/>
      </c>
      <c r="G151" s="11" t="str">
        <f>IF(A151="","",SUM(Lançamentos!G$9:G151))</f>
        <v/>
      </c>
      <c r="H151" s="11" t="str">
        <f>IF(A151="","",SUM(Lançamentos!H$9:H151))</f>
        <v/>
      </c>
      <c r="I151" s="12" t="str">
        <f>IF(A151="","",SUM(Lançamentos!C$9:C151))</f>
        <v/>
      </c>
      <c r="J151" s="13" t="str">
        <f>IF(Lançamentos!J151="","",Lançamentos!J151)</f>
        <v/>
      </c>
    </row>
    <row r="152" spans="1:10" ht="23.1" customHeight="1">
      <c r="A152" s="1" t="str">
        <f>IF(ISNUMBER(Lançamentos!A152),Lançamentos!A152,"")</f>
        <v/>
      </c>
      <c r="B152" s="1" t="str">
        <f>IF(Lançamentos!B152="","",Lançamentos!B152)</f>
        <v/>
      </c>
      <c r="C152" s="12" t="str">
        <f>IF(ISNUMBER(Lançamentos!C152),Lançamentos!C152,"")</f>
        <v/>
      </c>
      <c r="D152" s="10" t="str">
        <f>IF(A152="","",SUM(Lançamentos!D$9:D152))</f>
        <v/>
      </c>
      <c r="E152" s="1"/>
      <c r="F152" s="11" t="str">
        <f>IF(A152="","",SUM(Lançamentos!F$9:F152))</f>
        <v/>
      </c>
      <c r="G152" s="11" t="str">
        <f>IF(A152="","",SUM(Lançamentos!G$9:G152))</f>
        <v/>
      </c>
      <c r="H152" s="11" t="str">
        <f>IF(A152="","",SUM(Lançamentos!H$9:H152))</f>
        <v/>
      </c>
      <c r="I152" s="12" t="str">
        <f>IF(A152="","",SUM(Lançamentos!C$9:C152))</f>
        <v/>
      </c>
      <c r="J152" s="13" t="str">
        <f>IF(Lançamentos!J152="","",Lançamentos!J152)</f>
        <v/>
      </c>
    </row>
    <row r="153" spans="1:10" ht="23.1" customHeight="1">
      <c r="A153" s="1" t="str">
        <f>IF(ISNUMBER(Lançamentos!A153),Lançamentos!A153,"")</f>
        <v/>
      </c>
      <c r="B153" s="1" t="str">
        <f>IF(Lançamentos!B153="","",Lançamentos!B153)</f>
        <v/>
      </c>
      <c r="C153" s="12" t="str">
        <f>IF(ISNUMBER(Lançamentos!C153),Lançamentos!C153,"")</f>
        <v/>
      </c>
      <c r="D153" s="10" t="str">
        <f>IF(A153="","",SUM(Lançamentos!D$9:D153))</f>
        <v/>
      </c>
      <c r="E153" s="1"/>
      <c r="F153" s="11" t="str">
        <f>IF(A153="","",SUM(Lançamentos!F$9:F153))</f>
        <v/>
      </c>
      <c r="G153" s="11" t="str">
        <f>IF(A153="","",SUM(Lançamentos!G$9:G153))</f>
        <v/>
      </c>
      <c r="H153" s="11" t="str">
        <f>IF(A153="","",SUM(Lançamentos!H$9:H153))</f>
        <v/>
      </c>
      <c r="I153" s="12" t="str">
        <f>IF(A153="","",SUM(Lançamentos!C$9:C153))</f>
        <v/>
      </c>
      <c r="J153" s="13" t="str">
        <f>IF(Lançamentos!J153="","",Lançamentos!J153)</f>
        <v/>
      </c>
    </row>
    <row r="154" spans="1:10" ht="23.1" customHeight="1">
      <c r="A154" s="1" t="str">
        <f>IF(ISNUMBER(Lançamentos!A154),Lançamentos!A154,"")</f>
        <v/>
      </c>
      <c r="B154" s="1" t="str">
        <f>IF(Lançamentos!B154="","",Lançamentos!B154)</f>
        <v/>
      </c>
      <c r="C154" s="12" t="str">
        <f>IF(ISNUMBER(Lançamentos!C154),Lançamentos!C154,"")</f>
        <v/>
      </c>
      <c r="D154" s="10" t="str">
        <f>IF(A154="","",SUM(Lançamentos!D$9:D154))</f>
        <v/>
      </c>
      <c r="E154" s="1"/>
      <c r="F154" s="11" t="str">
        <f>IF(A154="","",SUM(Lançamentos!F$9:F154))</f>
        <v/>
      </c>
      <c r="G154" s="11" t="str">
        <f>IF(A154="","",SUM(Lançamentos!G$9:G154))</f>
        <v/>
      </c>
      <c r="H154" s="11" t="str">
        <f>IF(A154="","",SUM(Lançamentos!H$9:H154))</f>
        <v/>
      </c>
      <c r="I154" s="12" t="str">
        <f>IF(A154="","",SUM(Lançamentos!C$9:C154))</f>
        <v/>
      </c>
      <c r="J154" s="13" t="str">
        <f>IF(Lançamentos!J154="","",Lançamentos!J154)</f>
        <v/>
      </c>
    </row>
    <row r="155" spans="1:10" ht="23.1" customHeight="1">
      <c r="A155" s="1" t="str">
        <f>IF(ISNUMBER(Lançamentos!A155),Lançamentos!A155,"")</f>
        <v/>
      </c>
      <c r="B155" s="1" t="str">
        <f>IF(Lançamentos!B155="","",Lançamentos!B155)</f>
        <v/>
      </c>
      <c r="C155" s="12" t="str">
        <f>IF(ISNUMBER(Lançamentos!C155),Lançamentos!C155,"")</f>
        <v/>
      </c>
      <c r="D155" s="10" t="str">
        <f>IF(A155="","",SUM(Lançamentos!D$9:D155))</f>
        <v/>
      </c>
      <c r="E155" s="1"/>
      <c r="F155" s="11" t="str">
        <f>IF(A155="","",SUM(Lançamentos!F$9:F155))</f>
        <v/>
      </c>
      <c r="G155" s="11" t="str">
        <f>IF(A155="","",SUM(Lançamentos!G$9:G155))</f>
        <v/>
      </c>
      <c r="H155" s="11" t="str">
        <f>IF(A155="","",SUM(Lançamentos!H$9:H155))</f>
        <v/>
      </c>
      <c r="I155" s="12" t="str">
        <f>IF(A155="","",SUM(Lançamentos!C$9:C155))</f>
        <v/>
      </c>
      <c r="J155" s="13" t="str">
        <f>IF(Lançamentos!J155="","",Lançamentos!J155)</f>
        <v/>
      </c>
    </row>
    <row r="156" spans="1:10" ht="23.1" customHeight="1">
      <c r="A156" s="1" t="str">
        <f>IF(ISNUMBER(Lançamentos!A156),Lançamentos!A156,"")</f>
        <v/>
      </c>
      <c r="B156" s="1" t="str">
        <f>IF(Lançamentos!B156="","",Lançamentos!B156)</f>
        <v/>
      </c>
      <c r="C156" s="12" t="str">
        <f>IF(ISNUMBER(Lançamentos!C156),Lançamentos!C156,"")</f>
        <v/>
      </c>
      <c r="D156" s="10" t="str">
        <f>IF(A156="","",SUM(Lançamentos!D$9:D156))</f>
        <v/>
      </c>
      <c r="E156" s="1"/>
      <c r="F156" s="11" t="str">
        <f>IF(A156="","",SUM(Lançamentos!F$9:F156))</f>
        <v/>
      </c>
      <c r="G156" s="11" t="str">
        <f>IF(A156="","",SUM(Lançamentos!G$9:G156))</f>
        <v/>
      </c>
      <c r="H156" s="11" t="str">
        <f>IF(A156="","",SUM(Lançamentos!H$9:H156))</f>
        <v/>
      </c>
      <c r="I156" s="12" t="str">
        <f>IF(A156="","",SUM(Lançamentos!C$9:C156))</f>
        <v/>
      </c>
      <c r="J156" s="13" t="str">
        <f>IF(Lançamentos!J156="","",Lançamentos!J156)</f>
        <v/>
      </c>
    </row>
    <row r="157" spans="1:10" ht="23.1" customHeight="1">
      <c r="A157" s="1" t="str">
        <f>IF(ISNUMBER(Lançamentos!A157),Lançamentos!A157,"")</f>
        <v/>
      </c>
      <c r="B157" s="1" t="str">
        <f>IF(Lançamentos!B157="","",Lançamentos!B157)</f>
        <v/>
      </c>
      <c r="C157" s="12" t="str">
        <f>IF(ISNUMBER(Lançamentos!C157),Lançamentos!C157,"")</f>
        <v/>
      </c>
      <c r="D157" s="10" t="str">
        <f>IF(A157="","",SUM(Lançamentos!D$9:D157))</f>
        <v/>
      </c>
      <c r="E157" s="1"/>
      <c r="F157" s="11" t="str">
        <f>IF(A157="","",SUM(Lançamentos!F$9:F157))</f>
        <v/>
      </c>
      <c r="G157" s="11" t="str">
        <f>IF(A157="","",SUM(Lançamentos!G$9:G157))</f>
        <v/>
      </c>
      <c r="H157" s="11" t="str">
        <f>IF(A157="","",SUM(Lançamentos!H$9:H157))</f>
        <v/>
      </c>
      <c r="I157" s="12" t="str">
        <f>IF(A157="","",SUM(Lançamentos!C$9:C157))</f>
        <v/>
      </c>
      <c r="J157" s="13" t="str">
        <f>IF(Lançamentos!J157="","",Lançamentos!J157)</f>
        <v/>
      </c>
    </row>
    <row r="158" spans="1:10" ht="23.1" customHeight="1">
      <c r="A158" s="1" t="str">
        <f>IF(ISNUMBER(Lançamentos!A158),Lançamentos!A158,"")</f>
        <v/>
      </c>
      <c r="B158" s="1" t="str">
        <f>IF(Lançamentos!B158="","",Lançamentos!B158)</f>
        <v/>
      </c>
      <c r="C158" s="12" t="str">
        <f>IF(ISNUMBER(Lançamentos!C158),Lançamentos!C158,"")</f>
        <v/>
      </c>
      <c r="D158" s="10" t="str">
        <f>IF(A158="","",SUM(Lançamentos!D$9:D158))</f>
        <v/>
      </c>
      <c r="E158" s="1"/>
      <c r="F158" s="11" t="str">
        <f>IF(A158="","",SUM(Lançamentos!F$9:F158))</f>
        <v/>
      </c>
      <c r="G158" s="11" t="str">
        <f>IF(A158="","",SUM(Lançamentos!G$9:G158))</f>
        <v/>
      </c>
      <c r="H158" s="11" t="str">
        <f>IF(A158="","",SUM(Lançamentos!H$9:H158))</f>
        <v/>
      </c>
      <c r="I158" s="12" t="str">
        <f>IF(A158="","",SUM(Lançamentos!C$9:C158))</f>
        <v/>
      </c>
      <c r="J158" s="13" t="str">
        <f>IF(Lançamentos!J158="","",Lançamentos!J158)</f>
        <v/>
      </c>
    </row>
    <row r="159" spans="1:10" ht="23.1" customHeight="1">
      <c r="A159" s="1" t="str">
        <f>IF(ISNUMBER(Lançamentos!A159),Lançamentos!A159,"")</f>
        <v/>
      </c>
      <c r="B159" s="1" t="str">
        <f>IF(Lançamentos!B159="","",Lançamentos!B159)</f>
        <v/>
      </c>
      <c r="C159" s="12" t="str">
        <f>IF(ISNUMBER(Lançamentos!C159),Lançamentos!C159,"")</f>
        <v/>
      </c>
      <c r="D159" s="10" t="str">
        <f>IF(A159="","",SUM(Lançamentos!D$9:D159))</f>
        <v/>
      </c>
      <c r="E159" s="1"/>
      <c r="F159" s="11" t="str">
        <f>IF(A159="","",SUM(Lançamentos!F$9:F159))</f>
        <v/>
      </c>
      <c r="G159" s="11" t="str">
        <f>IF(A159="","",SUM(Lançamentos!G$9:G159))</f>
        <v/>
      </c>
      <c r="H159" s="11" t="str">
        <f>IF(A159="","",SUM(Lançamentos!H$9:H159))</f>
        <v/>
      </c>
      <c r="I159" s="12" t="str">
        <f>IF(A159="","",SUM(Lançamentos!C$9:C159))</f>
        <v/>
      </c>
      <c r="J159" s="13" t="str">
        <f>IF(Lançamentos!J159="","",Lançamentos!J159)</f>
        <v/>
      </c>
    </row>
    <row r="160" spans="1:10" ht="23.1" customHeight="1">
      <c r="A160" s="1" t="str">
        <f>IF(ISNUMBER(Lançamentos!A160),Lançamentos!A160,"")</f>
        <v/>
      </c>
      <c r="B160" s="1" t="str">
        <f>IF(Lançamentos!B160="","",Lançamentos!B160)</f>
        <v/>
      </c>
      <c r="C160" s="12" t="str">
        <f>IF(ISNUMBER(Lançamentos!C160),Lançamentos!C160,"")</f>
        <v/>
      </c>
      <c r="D160" s="10" t="str">
        <f>IF(A160="","",SUM(Lançamentos!D$9:D160))</f>
        <v/>
      </c>
      <c r="E160" s="1"/>
      <c r="F160" s="11" t="str">
        <f>IF(A160="","",SUM(Lançamentos!F$9:F160))</f>
        <v/>
      </c>
      <c r="G160" s="11" t="str">
        <f>IF(A160="","",SUM(Lançamentos!G$9:G160))</f>
        <v/>
      </c>
      <c r="H160" s="11" t="str">
        <f>IF(A160="","",SUM(Lançamentos!H$9:H160))</f>
        <v/>
      </c>
      <c r="I160" s="12" t="str">
        <f>IF(A160="","",SUM(Lançamentos!C$9:C160))</f>
        <v/>
      </c>
      <c r="J160" s="13" t="str">
        <f>IF(Lançamentos!J160="","",Lançamentos!J160)</f>
        <v/>
      </c>
    </row>
    <row r="161" spans="1:10" ht="23.1" customHeight="1">
      <c r="A161" s="1" t="str">
        <f>IF(ISNUMBER(Lançamentos!A161),Lançamentos!A161,"")</f>
        <v/>
      </c>
      <c r="B161" s="1" t="str">
        <f>IF(Lançamentos!B161="","",Lançamentos!B161)</f>
        <v/>
      </c>
      <c r="C161" s="12" t="str">
        <f>IF(ISNUMBER(Lançamentos!C161),Lançamentos!C161,"")</f>
        <v/>
      </c>
      <c r="D161" s="10" t="str">
        <f>IF(A161="","",SUM(Lançamentos!D$9:D161))</f>
        <v/>
      </c>
      <c r="E161" s="1"/>
      <c r="F161" s="11" t="str">
        <f>IF(A161="","",SUM(Lançamentos!F$9:F161))</f>
        <v/>
      </c>
      <c r="G161" s="11" t="str">
        <f>IF(A161="","",SUM(Lançamentos!G$9:G161))</f>
        <v/>
      </c>
      <c r="H161" s="11" t="str">
        <f>IF(A161="","",SUM(Lançamentos!H$9:H161))</f>
        <v/>
      </c>
      <c r="I161" s="12" t="str">
        <f>IF(A161="","",SUM(Lançamentos!C$9:C161))</f>
        <v/>
      </c>
      <c r="J161" s="13" t="str">
        <f>IF(Lançamentos!J161="","",Lançamentos!J161)</f>
        <v/>
      </c>
    </row>
    <row r="162" spans="1:10" ht="23.1" customHeight="1">
      <c r="A162" s="1" t="str">
        <f>IF(ISNUMBER(Lançamentos!A162),Lançamentos!A162,"")</f>
        <v/>
      </c>
      <c r="B162" s="1" t="str">
        <f>IF(Lançamentos!B162="","",Lançamentos!B162)</f>
        <v/>
      </c>
      <c r="C162" s="12" t="str">
        <f>IF(ISNUMBER(Lançamentos!C162),Lançamentos!C162,"")</f>
        <v/>
      </c>
      <c r="D162" s="10" t="str">
        <f>IF(A162="","",SUM(Lançamentos!D$9:D162))</f>
        <v/>
      </c>
      <c r="E162" s="1"/>
      <c r="F162" s="11" t="str">
        <f>IF(A162="","",SUM(Lançamentos!F$9:F162))</f>
        <v/>
      </c>
      <c r="G162" s="11" t="str">
        <f>IF(A162="","",SUM(Lançamentos!G$9:G162))</f>
        <v/>
      </c>
      <c r="H162" s="11" t="str">
        <f>IF(A162="","",SUM(Lançamentos!H$9:H162))</f>
        <v/>
      </c>
      <c r="I162" s="12" t="str">
        <f>IF(A162="","",SUM(Lançamentos!C$9:C162))</f>
        <v/>
      </c>
      <c r="J162" s="13" t="str">
        <f>IF(Lançamentos!J162="","",Lançamentos!J162)</f>
        <v/>
      </c>
    </row>
    <row r="163" spans="1:10" ht="23.1" customHeight="1">
      <c r="A163" s="1" t="str">
        <f>IF(ISNUMBER(Lançamentos!A163),Lançamentos!A163,"")</f>
        <v/>
      </c>
      <c r="B163" s="1" t="str">
        <f>IF(Lançamentos!B163="","",Lançamentos!B163)</f>
        <v/>
      </c>
      <c r="C163" s="12" t="str">
        <f>IF(ISNUMBER(Lançamentos!C163),Lançamentos!C163,"")</f>
        <v/>
      </c>
      <c r="D163" s="10" t="str">
        <f>IF(A163="","",SUM(Lançamentos!D$9:D163))</f>
        <v/>
      </c>
      <c r="E163" s="1"/>
      <c r="F163" s="11" t="str">
        <f>IF(A163="","",SUM(Lançamentos!F$9:F163))</f>
        <v/>
      </c>
      <c r="G163" s="11" t="str">
        <f>IF(A163="","",SUM(Lançamentos!G$9:G163))</f>
        <v/>
      </c>
      <c r="H163" s="11" t="str">
        <f>IF(A163="","",SUM(Lançamentos!H$9:H163))</f>
        <v/>
      </c>
      <c r="I163" s="12" t="str">
        <f>IF(A163="","",SUM(Lançamentos!C$9:C163))</f>
        <v/>
      </c>
      <c r="J163" s="13" t="str">
        <f>IF(Lançamentos!J163="","",Lançamentos!J163)</f>
        <v/>
      </c>
    </row>
    <row r="164" spans="1:10" ht="23.1" customHeight="1">
      <c r="A164" s="1" t="str">
        <f>IF(ISNUMBER(Lançamentos!A164),Lançamentos!A164,"")</f>
        <v/>
      </c>
      <c r="B164" s="1" t="str">
        <f>IF(Lançamentos!B164="","",Lançamentos!B164)</f>
        <v/>
      </c>
      <c r="C164" s="12" t="str">
        <f>IF(ISNUMBER(Lançamentos!C164),Lançamentos!C164,"")</f>
        <v/>
      </c>
      <c r="D164" s="10" t="str">
        <f>IF(A164="","",SUM(Lançamentos!D$9:D164))</f>
        <v/>
      </c>
      <c r="E164" s="1"/>
      <c r="F164" s="11" t="str">
        <f>IF(A164="","",SUM(Lançamentos!F$9:F164))</f>
        <v/>
      </c>
      <c r="G164" s="11" t="str">
        <f>IF(A164="","",SUM(Lançamentos!G$9:G164))</f>
        <v/>
      </c>
      <c r="H164" s="11" t="str">
        <f>IF(A164="","",SUM(Lançamentos!H$9:H164))</f>
        <v/>
      </c>
      <c r="I164" s="12" t="str">
        <f>IF(A164="","",SUM(Lançamentos!C$9:C164))</f>
        <v/>
      </c>
      <c r="J164" s="13" t="str">
        <f>IF(Lançamentos!J164="","",Lançamentos!J164)</f>
        <v/>
      </c>
    </row>
    <row r="165" spans="1:10" ht="23.1" customHeight="1">
      <c r="A165" s="1" t="str">
        <f>IF(ISNUMBER(Lançamentos!A165),Lançamentos!A165,"")</f>
        <v/>
      </c>
      <c r="B165" s="1" t="str">
        <f>IF(Lançamentos!B165="","",Lançamentos!B165)</f>
        <v/>
      </c>
      <c r="C165" s="12" t="str">
        <f>IF(ISNUMBER(Lançamentos!C165),Lançamentos!C165,"")</f>
        <v/>
      </c>
      <c r="D165" s="10" t="str">
        <f>IF(A165="","",SUM(Lançamentos!D$9:D165))</f>
        <v/>
      </c>
      <c r="E165" s="1"/>
      <c r="F165" s="11" t="str">
        <f>IF(A165="","",SUM(Lançamentos!F$9:F165))</f>
        <v/>
      </c>
      <c r="G165" s="11" t="str">
        <f>IF(A165="","",SUM(Lançamentos!G$9:G165))</f>
        <v/>
      </c>
      <c r="H165" s="11" t="str">
        <f>IF(A165="","",SUM(Lançamentos!H$9:H165))</f>
        <v/>
      </c>
      <c r="I165" s="12" t="str">
        <f>IF(A165="","",SUM(Lançamentos!C$9:C165))</f>
        <v/>
      </c>
      <c r="J165" s="13" t="str">
        <f>IF(Lançamentos!J165="","",Lançamentos!J165)</f>
        <v/>
      </c>
    </row>
    <row r="166" spans="1:10" ht="23.1" customHeight="1">
      <c r="A166" s="1" t="str">
        <f>IF(ISNUMBER(Lançamentos!A166),Lançamentos!A166,"")</f>
        <v/>
      </c>
      <c r="B166" s="1" t="str">
        <f>IF(Lançamentos!B166="","",Lançamentos!B166)</f>
        <v/>
      </c>
      <c r="C166" s="12" t="str">
        <f>IF(ISNUMBER(Lançamentos!C166),Lançamentos!C166,"")</f>
        <v/>
      </c>
      <c r="D166" s="10" t="str">
        <f>IF(A166="","",SUM(Lançamentos!D$9:D166))</f>
        <v/>
      </c>
      <c r="E166" s="1"/>
      <c r="F166" s="11" t="str">
        <f>IF(A166="","",SUM(Lançamentos!F$9:F166))</f>
        <v/>
      </c>
      <c r="G166" s="11" t="str">
        <f>IF(A166="","",SUM(Lançamentos!G$9:G166))</f>
        <v/>
      </c>
      <c r="H166" s="11" t="str">
        <f>IF(A166="","",SUM(Lançamentos!H$9:H166))</f>
        <v/>
      </c>
      <c r="I166" s="12" t="str">
        <f>IF(A166="","",SUM(Lançamentos!C$9:C166))</f>
        <v/>
      </c>
      <c r="J166" s="13" t="str">
        <f>IF(Lançamentos!J166="","",Lançamentos!J166)</f>
        <v/>
      </c>
    </row>
    <row r="167" spans="1:10" ht="23.1" customHeight="1">
      <c r="A167" s="1" t="str">
        <f>IF(ISNUMBER(Lançamentos!A167),Lançamentos!A167,"")</f>
        <v/>
      </c>
      <c r="B167" s="1" t="str">
        <f>IF(Lançamentos!B167="","",Lançamentos!B167)</f>
        <v/>
      </c>
      <c r="C167" s="12" t="str">
        <f>IF(ISNUMBER(Lançamentos!C167),Lançamentos!C167,"")</f>
        <v/>
      </c>
      <c r="D167" s="10" t="str">
        <f>IF(A167="","",SUM(Lançamentos!D$9:D167))</f>
        <v/>
      </c>
      <c r="E167" s="1"/>
      <c r="F167" s="11" t="str">
        <f>IF(A167="","",SUM(Lançamentos!F$9:F167))</f>
        <v/>
      </c>
      <c r="G167" s="11" t="str">
        <f>IF(A167="","",SUM(Lançamentos!G$9:G167))</f>
        <v/>
      </c>
      <c r="H167" s="11" t="str">
        <f>IF(A167="","",SUM(Lançamentos!H$9:H167))</f>
        <v/>
      </c>
      <c r="I167" s="12" t="str">
        <f>IF(A167="","",SUM(Lançamentos!C$9:C167))</f>
        <v/>
      </c>
      <c r="J167" s="13" t="str">
        <f>IF(Lançamentos!J167="","",Lançamentos!J167)</f>
        <v/>
      </c>
    </row>
    <row r="168" spans="1:10" ht="23.1" customHeight="1">
      <c r="A168" s="1" t="str">
        <f>IF(ISNUMBER(Lançamentos!A168),Lançamentos!A168,"")</f>
        <v/>
      </c>
      <c r="B168" s="1" t="str">
        <f>IF(Lançamentos!B168="","",Lançamentos!B168)</f>
        <v/>
      </c>
      <c r="C168" s="12" t="str">
        <f>IF(ISNUMBER(Lançamentos!C168),Lançamentos!C168,"")</f>
        <v/>
      </c>
      <c r="D168" s="10" t="str">
        <f>IF(A168="","",SUM(Lançamentos!D$9:D168))</f>
        <v/>
      </c>
      <c r="E168" s="1"/>
      <c r="F168" s="11" t="str">
        <f>IF(A168="","",SUM(Lançamentos!F$9:F168))</f>
        <v/>
      </c>
      <c r="G168" s="11" t="str">
        <f>IF(A168="","",SUM(Lançamentos!G$9:G168))</f>
        <v/>
      </c>
      <c r="H168" s="11" t="str">
        <f>IF(A168="","",SUM(Lançamentos!H$9:H168))</f>
        <v/>
      </c>
      <c r="I168" s="12" t="str">
        <f>IF(A168="","",SUM(Lançamentos!C$9:C168))</f>
        <v/>
      </c>
      <c r="J168" s="13" t="str">
        <f>IF(Lançamentos!J168="","",Lançamentos!J168)</f>
        <v/>
      </c>
    </row>
    <row r="169" spans="1:10" ht="23.1" customHeight="1">
      <c r="A169" s="1" t="str">
        <f>IF(ISNUMBER(Lançamentos!A169),Lançamentos!A169,"")</f>
        <v/>
      </c>
      <c r="B169" s="1" t="str">
        <f>IF(Lançamentos!B169="","",Lançamentos!B169)</f>
        <v/>
      </c>
      <c r="C169" s="12" t="str">
        <f>IF(ISNUMBER(Lançamentos!C169),Lançamentos!C169,"")</f>
        <v/>
      </c>
      <c r="D169" s="10" t="str">
        <f>IF(A169="","",SUM(Lançamentos!D$9:D169))</f>
        <v/>
      </c>
      <c r="E169" s="1"/>
      <c r="F169" s="11" t="str">
        <f>IF(A169="","",SUM(Lançamentos!F$9:F169))</f>
        <v/>
      </c>
      <c r="G169" s="11" t="str">
        <f>IF(A169="","",SUM(Lançamentos!G$9:G169))</f>
        <v/>
      </c>
      <c r="H169" s="11" t="str">
        <f>IF(A169="","",SUM(Lançamentos!H$9:H169))</f>
        <v/>
      </c>
      <c r="I169" s="12" t="str">
        <f>IF(A169="","",SUM(Lançamentos!C$9:C169))</f>
        <v/>
      </c>
      <c r="J169" s="13" t="str">
        <f>IF(Lançamentos!J169="","",Lançamentos!J169)</f>
        <v/>
      </c>
    </row>
    <row r="170" spans="1:10" ht="23.1" customHeight="1">
      <c r="A170" s="1" t="str">
        <f>IF(ISNUMBER(Lançamentos!A170),Lançamentos!A170,"")</f>
        <v/>
      </c>
      <c r="B170" s="1" t="str">
        <f>IF(Lançamentos!B170="","",Lançamentos!B170)</f>
        <v/>
      </c>
      <c r="C170" s="12" t="str">
        <f>IF(ISNUMBER(Lançamentos!C170),Lançamentos!C170,"")</f>
        <v/>
      </c>
      <c r="D170" s="10" t="str">
        <f>IF(A170="","",SUM(Lançamentos!D$9:D170))</f>
        <v/>
      </c>
      <c r="E170" s="1"/>
      <c r="F170" s="11" t="str">
        <f>IF(A170="","",SUM(Lançamentos!F$9:F170))</f>
        <v/>
      </c>
      <c r="G170" s="11" t="str">
        <f>IF(A170="","",SUM(Lançamentos!G$9:G170))</f>
        <v/>
      </c>
      <c r="H170" s="11" t="str">
        <f>IF(A170="","",SUM(Lançamentos!H$9:H170))</f>
        <v/>
      </c>
      <c r="I170" s="12" t="str">
        <f>IF(A170="","",SUM(Lançamentos!C$9:C170))</f>
        <v/>
      </c>
      <c r="J170" s="13" t="str">
        <f>IF(Lançamentos!J170="","",Lançamentos!J170)</f>
        <v/>
      </c>
    </row>
    <row r="171" spans="1:10" ht="23.1" customHeight="1">
      <c r="A171" s="1" t="str">
        <f>IF(ISNUMBER(Lançamentos!A171),Lançamentos!A171,"")</f>
        <v/>
      </c>
      <c r="B171" s="1" t="str">
        <f>IF(Lançamentos!B171="","",Lançamentos!B171)</f>
        <v/>
      </c>
      <c r="C171" s="12" t="str">
        <f>IF(ISNUMBER(Lançamentos!C171),Lançamentos!C171,"")</f>
        <v/>
      </c>
      <c r="D171" s="10" t="str">
        <f>IF(A171="","",SUM(Lançamentos!D$9:D171))</f>
        <v/>
      </c>
      <c r="E171" s="1"/>
      <c r="F171" s="11" t="str">
        <f>IF(A171="","",SUM(Lançamentos!F$9:F171))</f>
        <v/>
      </c>
      <c r="G171" s="11" t="str">
        <f>IF(A171="","",SUM(Lançamentos!G$9:G171))</f>
        <v/>
      </c>
      <c r="H171" s="11" t="str">
        <f>IF(A171="","",SUM(Lançamentos!H$9:H171))</f>
        <v/>
      </c>
      <c r="I171" s="12" t="str">
        <f>IF(A171="","",SUM(Lançamentos!C$9:C171))</f>
        <v/>
      </c>
      <c r="J171" s="13" t="str">
        <f>IF(Lançamentos!J171="","",Lançamentos!J171)</f>
        <v/>
      </c>
    </row>
    <row r="172" spans="1:10" ht="23.1" customHeight="1">
      <c r="A172" s="1" t="str">
        <f>IF(ISNUMBER(Lançamentos!A172),Lançamentos!A172,"")</f>
        <v/>
      </c>
      <c r="B172" s="1" t="str">
        <f>IF(Lançamentos!B172="","",Lançamentos!B172)</f>
        <v/>
      </c>
      <c r="C172" s="12" t="str">
        <f>IF(ISNUMBER(Lançamentos!C172),Lançamentos!C172,"")</f>
        <v/>
      </c>
      <c r="D172" s="10" t="str">
        <f>IF(A172="","",SUM(Lançamentos!D$9:D172))</f>
        <v/>
      </c>
      <c r="E172" s="1"/>
      <c r="F172" s="11" t="str">
        <f>IF(A172="","",SUM(Lançamentos!F$9:F172))</f>
        <v/>
      </c>
      <c r="G172" s="11" t="str">
        <f>IF(A172="","",SUM(Lançamentos!G$9:G172))</f>
        <v/>
      </c>
      <c r="H172" s="11" t="str">
        <f>IF(A172="","",SUM(Lançamentos!H$9:H172))</f>
        <v/>
      </c>
      <c r="I172" s="12" t="str">
        <f>IF(A172="","",SUM(Lançamentos!C$9:C172))</f>
        <v/>
      </c>
      <c r="J172" s="13" t="str">
        <f>IF(Lançamentos!J172="","",Lançamentos!J172)</f>
        <v/>
      </c>
    </row>
    <row r="173" spans="1:10" ht="23.1" customHeight="1">
      <c r="A173" s="1" t="str">
        <f>IF(ISNUMBER(Lançamentos!A173),Lançamentos!A173,"")</f>
        <v/>
      </c>
      <c r="B173" s="1" t="str">
        <f>IF(Lançamentos!B173="","",Lançamentos!B173)</f>
        <v/>
      </c>
      <c r="C173" s="12" t="str">
        <f>IF(ISNUMBER(Lançamentos!C173),Lançamentos!C173,"")</f>
        <v/>
      </c>
      <c r="D173" s="10" t="str">
        <f>IF(A173="","",SUM(Lançamentos!D$9:D173))</f>
        <v/>
      </c>
      <c r="E173" s="1"/>
      <c r="F173" s="11" t="str">
        <f>IF(A173="","",SUM(Lançamentos!F$9:F173))</f>
        <v/>
      </c>
      <c r="G173" s="11" t="str">
        <f>IF(A173="","",SUM(Lançamentos!G$9:G173))</f>
        <v/>
      </c>
      <c r="H173" s="11" t="str">
        <f>IF(A173="","",SUM(Lançamentos!H$9:H173))</f>
        <v/>
      </c>
      <c r="I173" s="12" t="str">
        <f>IF(A173="","",SUM(Lançamentos!C$9:C173))</f>
        <v/>
      </c>
      <c r="J173" s="13" t="str">
        <f>IF(Lançamentos!J173="","",Lançamentos!J173)</f>
        <v/>
      </c>
    </row>
    <row r="174" spans="1:10" ht="23.1" customHeight="1">
      <c r="A174" s="1" t="str">
        <f>IF(ISNUMBER(Lançamentos!A174),Lançamentos!A174,"")</f>
        <v/>
      </c>
      <c r="B174" s="1" t="str">
        <f>IF(Lançamentos!B174="","",Lançamentos!B174)</f>
        <v/>
      </c>
      <c r="C174" s="12" t="str">
        <f>IF(ISNUMBER(Lançamentos!C174),Lançamentos!C174,"")</f>
        <v/>
      </c>
      <c r="D174" s="10" t="str">
        <f>IF(A174="","",SUM(Lançamentos!D$9:D174))</f>
        <v/>
      </c>
      <c r="E174" s="1"/>
      <c r="F174" s="11" t="str">
        <f>IF(A174="","",SUM(Lançamentos!F$9:F174))</f>
        <v/>
      </c>
      <c r="G174" s="11" t="str">
        <f>IF(A174="","",SUM(Lançamentos!G$9:G174))</f>
        <v/>
      </c>
      <c r="H174" s="11" t="str">
        <f>IF(A174="","",SUM(Lançamentos!H$9:H174))</f>
        <v/>
      </c>
      <c r="I174" s="12" t="str">
        <f>IF(A174="","",SUM(Lançamentos!C$9:C174))</f>
        <v/>
      </c>
      <c r="J174" s="13" t="str">
        <f>IF(Lançamentos!J174="","",Lançamentos!J174)</f>
        <v/>
      </c>
    </row>
    <row r="175" spans="1:10" ht="23.1" customHeight="1">
      <c r="A175" s="1" t="str">
        <f>IF(ISNUMBER(Lançamentos!A175),Lançamentos!A175,"")</f>
        <v/>
      </c>
      <c r="B175" s="1" t="str">
        <f>IF(Lançamentos!B175="","",Lançamentos!B175)</f>
        <v/>
      </c>
      <c r="C175" s="12" t="str">
        <f>IF(ISNUMBER(Lançamentos!C175),Lançamentos!C175,"")</f>
        <v/>
      </c>
      <c r="D175" s="10" t="str">
        <f>IF(A175="","",SUM(Lançamentos!D$9:D175))</f>
        <v/>
      </c>
      <c r="E175" s="1"/>
      <c r="F175" s="11" t="str">
        <f>IF(A175="","",SUM(Lançamentos!F$9:F175))</f>
        <v/>
      </c>
      <c r="G175" s="11" t="str">
        <f>IF(A175="","",SUM(Lançamentos!G$9:G175))</f>
        <v/>
      </c>
      <c r="H175" s="11" t="str">
        <f>IF(A175="","",SUM(Lançamentos!H$9:H175))</f>
        <v/>
      </c>
      <c r="I175" s="12" t="str">
        <f>IF(A175="","",SUM(Lançamentos!C$9:C175))</f>
        <v/>
      </c>
      <c r="J175" s="13" t="str">
        <f>IF(Lançamentos!J175="","",Lançamentos!J175)</f>
        <v/>
      </c>
    </row>
    <row r="176" spans="1:10" ht="23.1" customHeight="1">
      <c r="A176" s="1" t="str">
        <f>IF(ISNUMBER(Lançamentos!A176),Lançamentos!A176,"")</f>
        <v/>
      </c>
      <c r="B176" s="1" t="str">
        <f>IF(Lançamentos!B176="","",Lançamentos!B176)</f>
        <v/>
      </c>
      <c r="C176" s="12" t="str">
        <f>IF(ISNUMBER(Lançamentos!C176),Lançamentos!C176,"")</f>
        <v/>
      </c>
      <c r="D176" s="10" t="str">
        <f>IF(A176="","",SUM(Lançamentos!D$9:D176))</f>
        <v/>
      </c>
      <c r="E176" s="1"/>
      <c r="F176" s="11" t="str">
        <f>IF(A176="","",SUM(Lançamentos!F$9:F176))</f>
        <v/>
      </c>
      <c r="G176" s="11" t="str">
        <f>IF(A176="","",SUM(Lançamentos!G$9:G176))</f>
        <v/>
      </c>
      <c r="H176" s="11" t="str">
        <f>IF(A176="","",SUM(Lançamentos!H$9:H176))</f>
        <v/>
      </c>
      <c r="I176" s="12" t="str">
        <f>IF(A176="","",SUM(Lançamentos!C$9:C176))</f>
        <v/>
      </c>
      <c r="J176" s="13" t="str">
        <f>IF(Lançamentos!J176="","",Lançamentos!J176)</f>
        <v/>
      </c>
    </row>
    <row r="177" spans="1:10" ht="23.1" customHeight="1">
      <c r="A177" s="1" t="str">
        <f>IF(ISNUMBER(Lançamentos!A177),Lançamentos!A177,"")</f>
        <v/>
      </c>
      <c r="B177" s="1" t="str">
        <f>IF(Lançamentos!B177="","",Lançamentos!B177)</f>
        <v/>
      </c>
      <c r="C177" s="12" t="str">
        <f>IF(ISNUMBER(Lançamentos!C177),Lançamentos!C177,"")</f>
        <v/>
      </c>
      <c r="D177" s="10" t="str">
        <f>IF(A177="","",SUM(Lançamentos!D$9:D177))</f>
        <v/>
      </c>
      <c r="E177" s="1"/>
      <c r="F177" s="11" t="str">
        <f>IF(A177="","",SUM(Lançamentos!F$9:F177))</f>
        <v/>
      </c>
      <c r="G177" s="11" t="str">
        <f>IF(A177="","",SUM(Lançamentos!G$9:G177))</f>
        <v/>
      </c>
      <c r="H177" s="11" t="str">
        <f>IF(A177="","",SUM(Lançamentos!H$9:H177))</f>
        <v/>
      </c>
      <c r="I177" s="12" t="str">
        <f>IF(A177="","",SUM(Lançamentos!C$9:C177))</f>
        <v/>
      </c>
      <c r="J177" s="13" t="str">
        <f>IF(Lançamentos!J177="","",Lançamentos!J177)</f>
        <v/>
      </c>
    </row>
    <row r="178" spans="1:10" ht="23.1" customHeight="1">
      <c r="A178" s="1" t="str">
        <f>IF(ISNUMBER(Lançamentos!A178),Lançamentos!A178,"")</f>
        <v/>
      </c>
      <c r="B178" s="1" t="str">
        <f>IF(Lançamentos!B178="","",Lançamentos!B178)</f>
        <v/>
      </c>
      <c r="C178" s="12" t="str">
        <f>IF(ISNUMBER(Lançamentos!C178),Lançamentos!C178,"")</f>
        <v/>
      </c>
      <c r="D178" s="10" t="str">
        <f>IF(A178="","",SUM(Lançamentos!D$9:D178))</f>
        <v/>
      </c>
      <c r="E178" s="1"/>
      <c r="F178" s="11" t="str">
        <f>IF(A178="","",SUM(Lançamentos!F$9:F178))</f>
        <v/>
      </c>
      <c r="G178" s="11" t="str">
        <f>IF(A178="","",SUM(Lançamentos!G$9:G178))</f>
        <v/>
      </c>
      <c r="H178" s="11" t="str">
        <f>IF(A178="","",SUM(Lançamentos!H$9:H178))</f>
        <v/>
      </c>
      <c r="I178" s="12" t="str">
        <f>IF(A178="","",SUM(Lançamentos!C$9:C178))</f>
        <v/>
      </c>
      <c r="J178" s="13" t="str">
        <f>IF(Lançamentos!J178="","",Lançamentos!J178)</f>
        <v/>
      </c>
    </row>
    <row r="179" spans="1:10" ht="23.1" customHeight="1">
      <c r="A179" s="1" t="str">
        <f>IF(ISNUMBER(Lançamentos!A179),Lançamentos!A179,"")</f>
        <v/>
      </c>
      <c r="B179" s="1" t="str">
        <f>IF(Lançamentos!B179="","",Lançamentos!B179)</f>
        <v/>
      </c>
      <c r="C179" s="12" t="str">
        <f>IF(ISNUMBER(Lançamentos!C179),Lançamentos!C179,"")</f>
        <v/>
      </c>
      <c r="D179" s="10" t="str">
        <f>IF(A179="","",SUM(Lançamentos!D$9:D179))</f>
        <v/>
      </c>
      <c r="E179" s="1"/>
      <c r="F179" s="11" t="str">
        <f>IF(A179="","",SUM(Lançamentos!F$9:F179))</f>
        <v/>
      </c>
      <c r="G179" s="11" t="str">
        <f>IF(A179="","",SUM(Lançamentos!G$9:G179))</f>
        <v/>
      </c>
      <c r="H179" s="11" t="str">
        <f>IF(A179="","",SUM(Lançamentos!H$9:H179))</f>
        <v/>
      </c>
      <c r="I179" s="12" t="str">
        <f>IF(A179="","",SUM(Lançamentos!C$9:C179))</f>
        <v/>
      </c>
      <c r="J179" s="13" t="str">
        <f>IF(Lançamentos!J179="","",Lançamentos!J179)</f>
        <v/>
      </c>
    </row>
    <row r="180" spans="1:10" ht="23.1" customHeight="1">
      <c r="A180" s="1" t="str">
        <f>IF(ISNUMBER(Lançamentos!A180),Lançamentos!A180,"")</f>
        <v/>
      </c>
      <c r="B180" s="1" t="str">
        <f>IF(Lançamentos!B180="","",Lançamentos!B180)</f>
        <v/>
      </c>
      <c r="C180" s="12" t="str">
        <f>IF(ISNUMBER(Lançamentos!C180),Lançamentos!C180,"")</f>
        <v/>
      </c>
      <c r="D180" s="10" t="str">
        <f>IF(A180="","",SUM(Lançamentos!D$9:D180))</f>
        <v/>
      </c>
      <c r="E180" s="1"/>
      <c r="F180" s="11" t="str">
        <f>IF(A180="","",SUM(Lançamentos!F$9:F180))</f>
        <v/>
      </c>
      <c r="G180" s="11" t="str">
        <f>IF(A180="","",SUM(Lançamentos!G$9:G180))</f>
        <v/>
      </c>
      <c r="H180" s="11" t="str">
        <f>IF(A180="","",SUM(Lançamentos!H$9:H180))</f>
        <v/>
      </c>
      <c r="I180" s="12" t="str">
        <f>IF(A180="","",SUM(Lançamentos!C$9:C180))</f>
        <v/>
      </c>
      <c r="J180" s="13" t="str">
        <f>IF(Lançamentos!J180="","",Lançamentos!J180)</f>
        <v/>
      </c>
    </row>
    <row r="181" spans="1:10" ht="23.1" customHeight="1">
      <c r="A181" s="1" t="str">
        <f>IF(ISNUMBER(Lançamentos!A181),Lançamentos!A181,"")</f>
        <v/>
      </c>
      <c r="B181" s="1" t="str">
        <f>IF(Lançamentos!B181="","",Lançamentos!B181)</f>
        <v/>
      </c>
      <c r="C181" s="12" t="str">
        <f>IF(ISNUMBER(Lançamentos!C181),Lançamentos!C181,"")</f>
        <v/>
      </c>
      <c r="D181" s="10" t="str">
        <f>IF(A181="","",SUM(Lançamentos!D$9:D181))</f>
        <v/>
      </c>
      <c r="E181" s="1"/>
      <c r="F181" s="11" t="str">
        <f>IF(A181="","",SUM(Lançamentos!F$9:F181))</f>
        <v/>
      </c>
      <c r="G181" s="11" t="str">
        <f>IF(A181="","",SUM(Lançamentos!G$9:G181))</f>
        <v/>
      </c>
      <c r="H181" s="11" t="str">
        <f>IF(A181="","",SUM(Lançamentos!H$9:H181))</f>
        <v/>
      </c>
      <c r="I181" s="12" t="str">
        <f>IF(A181="","",SUM(Lançamentos!C$9:C181))</f>
        <v/>
      </c>
      <c r="J181" s="13" t="str">
        <f>IF(Lançamentos!J181="","",Lançamentos!J181)</f>
        <v/>
      </c>
    </row>
    <row r="182" spans="1:10" ht="23.1" customHeight="1">
      <c r="A182" s="1" t="str">
        <f>IF(ISNUMBER(Lançamentos!A182),Lançamentos!A182,"")</f>
        <v/>
      </c>
      <c r="B182" s="1" t="str">
        <f>IF(Lançamentos!B182="","",Lançamentos!B182)</f>
        <v/>
      </c>
      <c r="C182" s="12" t="str">
        <f>IF(ISNUMBER(Lançamentos!C182),Lançamentos!C182,"")</f>
        <v/>
      </c>
      <c r="D182" s="10" t="str">
        <f>IF(A182="","",SUM(Lançamentos!D$9:D182))</f>
        <v/>
      </c>
      <c r="E182" s="1"/>
      <c r="F182" s="11" t="str">
        <f>IF(A182="","",SUM(Lançamentos!F$9:F182))</f>
        <v/>
      </c>
      <c r="G182" s="11" t="str">
        <f>IF(A182="","",SUM(Lançamentos!G$9:G182))</f>
        <v/>
      </c>
      <c r="H182" s="11" t="str">
        <f>IF(A182="","",SUM(Lançamentos!H$9:H182))</f>
        <v/>
      </c>
      <c r="I182" s="12" t="str">
        <f>IF(A182="","",SUM(Lançamentos!C$9:C182))</f>
        <v/>
      </c>
      <c r="J182" s="13" t="str">
        <f>IF(Lançamentos!J182="","",Lançamentos!J182)</f>
        <v/>
      </c>
    </row>
    <row r="183" spans="1:10" ht="23.1" customHeight="1">
      <c r="A183" s="1" t="str">
        <f>IF(ISNUMBER(Lançamentos!A183),Lançamentos!A183,"")</f>
        <v/>
      </c>
      <c r="B183" s="1" t="str">
        <f>IF(Lançamentos!B183="","",Lançamentos!B183)</f>
        <v/>
      </c>
      <c r="C183" s="12" t="str">
        <f>IF(ISNUMBER(Lançamentos!C183),Lançamentos!C183,"")</f>
        <v/>
      </c>
      <c r="D183" s="10" t="str">
        <f>IF(A183="","",SUM(Lançamentos!D$9:D183))</f>
        <v/>
      </c>
      <c r="E183" s="1"/>
      <c r="F183" s="11" t="str">
        <f>IF(A183="","",SUM(Lançamentos!F$9:F183))</f>
        <v/>
      </c>
      <c r="G183" s="11" t="str">
        <f>IF(A183="","",SUM(Lançamentos!G$9:G183))</f>
        <v/>
      </c>
      <c r="H183" s="11" t="str">
        <f>IF(A183="","",SUM(Lançamentos!H$9:H183))</f>
        <v/>
      </c>
      <c r="I183" s="12" t="str">
        <f>IF(A183="","",SUM(Lançamentos!C$9:C183))</f>
        <v/>
      </c>
      <c r="J183" s="13" t="str">
        <f>IF(Lançamentos!J183="","",Lançamentos!J183)</f>
        <v/>
      </c>
    </row>
    <row r="184" spans="1:10" ht="23.1" customHeight="1">
      <c r="A184" s="1" t="str">
        <f>IF(ISNUMBER(Lançamentos!A184),Lançamentos!A184,"")</f>
        <v/>
      </c>
      <c r="B184" s="1" t="str">
        <f>IF(Lançamentos!B184="","",Lançamentos!B184)</f>
        <v/>
      </c>
      <c r="C184" s="12" t="str">
        <f>IF(ISNUMBER(Lançamentos!C184),Lançamentos!C184,"")</f>
        <v/>
      </c>
      <c r="D184" s="10" t="str">
        <f>IF(A184="","",SUM(Lançamentos!D$9:D184))</f>
        <v/>
      </c>
      <c r="E184" s="1"/>
      <c r="F184" s="11" t="str">
        <f>IF(A184="","",SUM(Lançamentos!F$9:F184))</f>
        <v/>
      </c>
      <c r="G184" s="11" t="str">
        <f>IF(A184="","",SUM(Lançamentos!G$9:G184))</f>
        <v/>
      </c>
      <c r="H184" s="11" t="str">
        <f>IF(A184="","",SUM(Lançamentos!H$9:H184))</f>
        <v/>
      </c>
      <c r="I184" s="12" t="str">
        <f>IF(A184="","",SUM(Lançamentos!C$9:C184))</f>
        <v/>
      </c>
      <c r="J184" s="13" t="str">
        <f>IF(Lançamentos!J184="","",Lançamentos!J184)</f>
        <v/>
      </c>
    </row>
    <row r="185" spans="1:10" ht="23.1" customHeight="1">
      <c r="A185" s="1" t="str">
        <f>IF(ISNUMBER(Lançamentos!A185),Lançamentos!A185,"")</f>
        <v/>
      </c>
      <c r="B185" s="1" t="str">
        <f>IF(Lançamentos!B185="","",Lançamentos!B185)</f>
        <v/>
      </c>
      <c r="C185" s="12" t="str">
        <f>IF(ISNUMBER(Lançamentos!C185),Lançamentos!C185,"")</f>
        <v/>
      </c>
      <c r="D185" s="10" t="str">
        <f>IF(A185="","",SUM(Lançamentos!D$9:D185))</f>
        <v/>
      </c>
      <c r="E185" s="1"/>
      <c r="F185" s="11" t="str">
        <f>IF(A185="","",SUM(Lançamentos!F$9:F185))</f>
        <v/>
      </c>
      <c r="G185" s="11" t="str">
        <f>IF(A185="","",SUM(Lançamentos!G$9:G185))</f>
        <v/>
      </c>
      <c r="H185" s="11" t="str">
        <f>IF(A185="","",SUM(Lançamentos!H$9:H185))</f>
        <v/>
      </c>
      <c r="I185" s="12" t="str">
        <f>IF(A185="","",SUM(Lançamentos!C$9:C185))</f>
        <v/>
      </c>
      <c r="J185" s="13" t="str">
        <f>IF(Lançamentos!J185="","",Lançamentos!J185)</f>
        <v/>
      </c>
    </row>
    <row r="186" spans="1:10" ht="23.1" customHeight="1">
      <c r="A186" s="1" t="str">
        <f>IF(ISNUMBER(Lançamentos!A186),Lançamentos!A186,"")</f>
        <v/>
      </c>
      <c r="B186" s="1" t="str">
        <f>IF(Lançamentos!B186="","",Lançamentos!B186)</f>
        <v/>
      </c>
      <c r="C186" s="12" t="str">
        <f>IF(ISNUMBER(Lançamentos!C186),Lançamentos!C186,"")</f>
        <v/>
      </c>
      <c r="D186" s="10" t="str">
        <f>IF(A186="","",SUM(Lançamentos!D$9:D186))</f>
        <v/>
      </c>
      <c r="E186" s="1"/>
      <c r="F186" s="11" t="str">
        <f>IF(A186="","",SUM(Lançamentos!F$9:F186))</f>
        <v/>
      </c>
      <c r="G186" s="11" t="str">
        <f>IF(A186="","",SUM(Lançamentos!G$9:G186))</f>
        <v/>
      </c>
      <c r="H186" s="11" t="str">
        <f>IF(A186="","",SUM(Lançamentos!H$9:H186))</f>
        <v/>
      </c>
      <c r="I186" s="12" t="str">
        <f>IF(A186="","",SUM(Lançamentos!C$9:C186))</f>
        <v/>
      </c>
      <c r="J186" s="13" t="str">
        <f>IF(Lançamentos!J186="","",Lançamentos!J186)</f>
        <v/>
      </c>
    </row>
    <row r="187" spans="1:10" ht="23.1" customHeight="1">
      <c r="A187" s="1" t="str">
        <f>IF(ISNUMBER(Lançamentos!A187),Lançamentos!A187,"")</f>
        <v/>
      </c>
      <c r="B187" s="1" t="str">
        <f>IF(Lançamentos!B187="","",Lançamentos!B187)</f>
        <v/>
      </c>
      <c r="C187" s="12" t="str">
        <f>IF(ISNUMBER(Lançamentos!C187),Lançamentos!C187,"")</f>
        <v/>
      </c>
      <c r="D187" s="10" t="str">
        <f>IF(A187="","",SUM(Lançamentos!D$9:D187))</f>
        <v/>
      </c>
      <c r="E187" s="1"/>
      <c r="F187" s="11" t="str">
        <f>IF(A187="","",SUM(Lançamentos!F$9:F187))</f>
        <v/>
      </c>
      <c r="G187" s="11" t="str">
        <f>IF(A187="","",SUM(Lançamentos!G$9:G187))</f>
        <v/>
      </c>
      <c r="H187" s="11" t="str">
        <f>IF(A187="","",SUM(Lançamentos!H$9:H187))</f>
        <v/>
      </c>
      <c r="I187" s="12" t="str">
        <f>IF(A187="","",SUM(Lançamentos!C$9:C187))</f>
        <v/>
      </c>
      <c r="J187" s="13" t="str">
        <f>IF(Lançamentos!J187="","",Lançamentos!J187)</f>
        <v/>
      </c>
    </row>
    <row r="188" spans="1:10" ht="23.1" customHeight="1">
      <c r="A188" s="1" t="str">
        <f>IF(ISNUMBER(Lançamentos!A188),Lançamentos!A188,"")</f>
        <v/>
      </c>
      <c r="B188" s="1" t="str">
        <f>IF(Lançamentos!B188="","",Lançamentos!B188)</f>
        <v/>
      </c>
      <c r="C188" s="12" t="str">
        <f>IF(ISNUMBER(Lançamentos!C188),Lançamentos!C188,"")</f>
        <v/>
      </c>
      <c r="D188" s="10" t="str">
        <f>IF(A188="","",SUM(Lançamentos!D$9:D188))</f>
        <v/>
      </c>
      <c r="E188" s="1"/>
      <c r="F188" s="11" t="str">
        <f>IF(A188="","",SUM(Lançamentos!F$9:F188))</f>
        <v/>
      </c>
      <c r="G188" s="11" t="str">
        <f>IF(A188="","",SUM(Lançamentos!G$9:G188))</f>
        <v/>
      </c>
      <c r="H188" s="11" t="str">
        <f>IF(A188="","",SUM(Lançamentos!H$9:H188))</f>
        <v/>
      </c>
      <c r="I188" s="12" t="str">
        <f>IF(A188="","",SUM(Lançamentos!C$9:C188))</f>
        <v/>
      </c>
      <c r="J188" s="13" t="str">
        <f>IF(Lançamentos!J188="","",Lançamentos!J188)</f>
        <v/>
      </c>
    </row>
    <row r="189" spans="1:10" ht="23.1" customHeight="1">
      <c r="A189" s="1" t="str">
        <f>IF(ISNUMBER(Lançamentos!A189),Lançamentos!A189,"")</f>
        <v/>
      </c>
      <c r="B189" s="1" t="str">
        <f>IF(Lançamentos!B189="","",Lançamentos!B189)</f>
        <v/>
      </c>
      <c r="C189" s="12" t="str">
        <f>IF(ISNUMBER(Lançamentos!C189),Lançamentos!C189,"")</f>
        <v/>
      </c>
      <c r="D189" s="10" t="str">
        <f>IF(A189="","",SUM(Lançamentos!D$9:D189))</f>
        <v/>
      </c>
      <c r="E189" s="1"/>
      <c r="F189" s="11" t="str">
        <f>IF(A189="","",SUM(Lançamentos!F$9:F189))</f>
        <v/>
      </c>
      <c r="G189" s="11" t="str">
        <f>IF(A189="","",SUM(Lançamentos!G$9:G189))</f>
        <v/>
      </c>
      <c r="H189" s="11" t="str">
        <f>IF(A189="","",SUM(Lançamentos!H$9:H189))</f>
        <v/>
      </c>
      <c r="I189" s="12" t="str">
        <f>IF(A189="","",SUM(Lançamentos!C$9:C189))</f>
        <v/>
      </c>
      <c r="J189" s="13" t="str">
        <f>IF(Lançamentos!J189="","",Lançamentos!J189)</f>
        <v/>
      </c>
    </row>
    <row r="190" spans="1:10" ht="23.1" customHeight="1">
      <c r="A190" s="1" t="str">
        <f>IF(ISNUMBER(Lançamentos!A190),Lançamentos!A190,"")</f>
        <v/>
      </c>
      <c r="B190" s="1" t="str">
        <f>IF(Lançamentos!B190="","",Lançamentos!B190)</f>
        <v/>
      </c>
      <c r="C190" s="12" t="str">
        <f>IF(ISNUMBER(Lançamentos!C190),Lançamentos!C190,"")</f>
        <v/>
      </c>
      <c r="D190" s="10" t="str">
        <f>IF(A190="","",SUM(Lançamentos!D$9:D190))</f>
        <v/>
      </c>
      <c r="E190" s="1"/>
      <c r="F190" s="11" t="str">
        <f>IF(A190="","",SUM(Lançamentos!F$9:F190))</f>
        <v/>
      </c>
      <c r="G190" s="11" t="str">
        <f>IF(A190="","",SUM(Lançamentos!G$9:G190))</f>
        <v/>
      </c>
      <c r="H190" s="11" t="str">
        <f>IF(A190="","",SUM(Lançamentos!H$9:H190))</f>
        <v/>
      </c>
      <c r="I190" s="12" t="str">
        <f>IF(A190="","",SUM(Lançamentos!C$9:C190))</f>
        <v/>
      </c>
      <c r="J190" s="13" t="str">
        <f>IF(Lançamentos!J190="","",Lançamentos!J190)</f>
        <v/>
      </c>
    </row>
    <row r="191" spans="1:10" ht="23.1" customHeight="1">
      <c r="A191" s="1" t="str">
        <f>IF(ISNUMBER(Lançamentos!A191),Lançamentos!A191,"")</f>
        <v/>
      </c>
      <c r="B191" s="1" t="str">
        <f>IF(Lançamentos!B191="","",Lançamentos!B191)</f>
        <v/>
      </c>
      <c r="C191" s="12" t="str">
        <f>IF(ISNUMBER(Lançamentos!C191),Lançamentos!C191,"")</f>
        <v/>
      </c>
      <c r="D191" s="10" t="str">
        <f>IF(A191="","",SUM(Lançamentos!D$9:D191))</f>
        <v/>
      </c>
      <c r="E191" s="1"/>
      <c r="F191" s="11" t="str">
        <f>IF(A191="","",SUM(Lançamentos!F$9:F191))</f>
        <v/>
      </c>
      <c r="G191" s="11" t="str">
        <f>IF(A191="","",SUM(Lançamentos!G$9:G191))</f>
        <v/>
      </c>
      <c r="H191" s="11" t="str">
        <f>IF(A191="","",SUM(Lançamentos!H$9:H191))</f>
        <v/>
      </c>
      <c r="I191" s="12" t="str">
        <f>IF(A191="","",SUM(Lançamentos!C$9:C191))</f>
        <v/>
      </c>
      <c r="J191" s="13" t="str">
        <f>IF(Lançamentos!J191="","",Lançamentos!J191)</f>
        <v/>
      </c>
    </row>
    <row r="192" spans="1:10" ht="23.1" customHeight="1">
      <c r="A192" s="1" t="str">
        <f>IF(ISNUMBER(Lançamentos!A192),Lançamentos!A192,"")</f>
        <v/>
      </c>
      <c r="B192" s="1" t="str">
        <f>IF(Lançamentos!B192="","",Lançamentos!B192)</f>
        <v/>
      </c>
      <c r="C192" s="12" t="str">
        <f>IF(ISNUMBER(Lançamentos!C192),Lançamentos!C192,"")</f>
        <v/>
      </c>
      <c r="D192" s="10" t="str">
        <f>IF(A192="","",SUM(Lançamentos!D$9:D192))</f>
        <v/>
      </c>
      <c r="E192" s="1"/>
      <c r="F192" s="11" t="str">
        <f>IF(A192="","",SUM(Lançamentos!F$9:F192))</f>
        <v/>
      </c>
      <c r="G192" s="11" t="str">
        <f>IF(A192="","",SUM(Lançamentos!G$9:G192))</f>
        <v/>
      </c>
      <c r="H192" s="11" t="str">
        <f>IF(A192="","",SUM(Lançamentos!H$9:H192))</f>
        <v/>
      </c>
      <c r="I192" s="12" t="str">
        <f>IF(A192="","",SUM(Lançamentos!C$9:C192))</f>
        <v/>
      </c>
      <c r="J192" s="13" t="str">
        <f>IF(Lançamentos!J192="","",Lançamentos!J192)</f>
        <v/>
      </c>
    </row>
    <row r="193" spans="1:10" ht="23.1" customHeight="1">
      <c r="A193" s="1" t="str">
        <f>IF(ISNUMBER(Lançamentos!A193),Lançamentos!A193,"")</f>
        <v/>
      </c>
      <c r="B193" s="1" t="str">
        <f>IF(Lançamentos!B193="","",Lançamentos!B193)</f>
        <v/>
      </c>
      <c r="C193" s="12" t="str">
        <f>IF(ISNUMBER(Lançamentos!C193),Lançamentos!C193,"")</f>
        <v/>
      </c>
      <c r="D193" s="10" t="str">
        <f>IF(A193="","",SUM(Lançamentos!D$9:D193))</f>
        <v/>
      </c>
      <c r="E193" s="1"/>
      <c r="F193" s="11" t="str">
        <f>IF(A193="","",SUM(Lançamentos!F$9:F193))</f>
        <v/>
      </c>
      <c r="G193" s="11" t="str">
        <f>IF(A193="","",SUM(Lançamentos!G$9:G193))</f>
        <v/>
      </c>
      <c r="H193" s="11" t="str">
        <f>IF(A193="","",SUM(Lançamentos!H$9:H193))</f>
        <v/>
      </c>
      <c r="I193" s="12" t="str">
        <f>IF(A193="","",SUM(Lançamentos!C$9:C193))</f>
        <v/>
      </c>
      <c r="J193" s="13" t="str">
        <f>IF(Lançamentos!J193="","",Lançamentos!J193)</f>
        <v/>
      </c>
    </row>
    <row r="194" spans="1:10" ht="23.1" customHeight="1">
      <c r="A194" s="1" t="str">
        <f>IF(ISNUMBER(Lançamentos!A194),Lançamentos!A194,"")</f>
        <v/>
      </c>
      <c r="B194" s="1" t="str">
        <f>IF(Lançamentos!B194="","",Lançamentos!B194)</f>
        <v/>
      </c>
      <c r="C194" s="12" t="str">
        <f>IF(ISNUMBER(Lançamentos!C194),Lançamentos!C194,"")</f>
        <v/>
      </c>
      <c r="D194" s="10" t="str">
        <f>IF(A194="","",SUM(Lançamentos!D$9:D194))</f>
        <v/>
      </c>
      <c r="E194" s="1"/>
      <c r="F194" s="11" t="str">
        <f>IF(A194="","",SUM(Lançamentos!F$9:F194))</f>
        <v/>
      </c>
      <c r="G194" s="11" t="str">
        <f>IF(A194="","",SUM(Lançamentos!G$9:G194))</f>
        <v/>
      </c>
      <c r="H194" s="11" t="str">
        <f>IF(A194="","",SUM(Lançamentos!H$9:H194))</f>
        <v/>
      </c>
      <c r="I194" s="12" t="str">
        <f>IF(A194="","",SUM(Lançamentos!C$9:C194))</f>
        <v/>
      </c>
      <c r="J194" s="13" t="str">
        <f>IF(Lançamentos!J194="","",Lançamentos!J194)</f>
        <v/>
      </c>
    </row>
    <row r="195" spans="1:10" ht="23.1" customHeight="1">
      <c r="A195" s="1" t="str">
        <f>IF(ISNUMBER(Lançamentos!A195),Lançamentos!A195,"")</f>
        <v/>
      </c>
      <c r="B195" s="1" t="str">
        <f>IF(Lançamentos!B195="","",Lançamentos!B195)</f>
        <v/>
      </c>
      <c r="C195" s="12" t="str">
        <f>IF(ISNUMBER(Lançamentos!C195),Lançamentos!C195,"")</f>
        <v/>
      </c>
      <c r="D195" s="10" t="str">
        <f>IF(A195="","",SUM(Lançamentos!D$9:D195))</f>
        <v/>
      </c>
      <c r="E195" s="1"/>
      <c r="F195" s="11" t="str">
        <f>IF(A195="","",SUM(Lançamentos!F$9:F195))</f>
        <v/>
      </c>
      <c r="G195" s="11" t="str">
        <f>IF(A195="","",SUM(Lançamentos!G$9:G195))</f>
        <v/>
      </c>
      <c r="H195" s="11" t="str">
        <f>IF(A195="","",SUM(Lançamentos!H$9:H195))</f>
        <v/>
      </c>
      <c r="I195" s="12" t="str">
        <f>IF(A195="","",SUM(Lançamentos!C$9:C195))</f>
        <v/>
      </c>
      <c r="J195" s="13" t="str">
        <f>IF(Lançamentos!J195="","",Lançamentos!J195)</f>
        <v/>
      </c>
    </row>
    <row r="196" spans="1:10" ht="23.1" customHeight="1">
      <c r="A196" s="1" t="str">
        <f>IF(ISNUMBER(Lançamentos!A196),Lançamentos!A196,"")</f>
        <v/>
      </c>
      <c r="B196" s="1" t="str">
        <f>IF(Lançamentos!B196="","",Lançamentos!B196)</f>
        <v/>
      </c>
      <c r="C196" s="12" t="str">
        <f>IF(ISNUMBER(Lançamentos!C196),Lançamentos!C196,"")</f>
        <v/>
      </c>
      <c r="D196" s="10" t="str">
        <f>IF(A196="","",SUM(Lançamentos!D$9:D196))</f>
        <v/>
      </c>
      <c r="E196" s="1"/>
      <c r="F196" s="11" t="str">
        <f>IF(A196="","",SUM(Lançamentos!F$9:F196))</f>
        <v/>
      </c>
      <c r="G196" s="11" t="str">
        <f>IF(A196="","",SUM(Lançamentos!G$9:G196))</f>
        <v/>
      </c>
      <c r="H196" s="11" t="str">
        <f>IF(A196="","",SUM(Lançamentos!H$9:H196))</f>
        <v/>
      </c>
      <c r="I196" s="12" t="str">
        <f>IF(A196="","",SUM(Lançamentos!C$9:C196))</f>
        <v/>
      </c>
      <c r="J196" s="13" t="str">
        <f>IF(Lançamentos!J196="","",Lançamentos!J196)</f>
        <v/>
      </c>
    </row>
    <row r="197" spans="1:10" ht="23.1" customHeight="1">
      <c r="A197" s="1" t="str">
        <f>IF(ISNUMBER(Lançamentos!A197),Lançamentos!A197,"")</f>
        <v/>
      </c>
      <c r="B197" s="1" t="str">
        <f>IF(Lançamentos!B197="","",Lançamentos!B197)</f>
        <v/>
      </c>
      <c r="C197" s="12" t="str">
        <f>IF(ISNUMBER(Lançamentos!C197),Lançamentos!C197,"")</f>
        <v/>
      </c>
      <c r="D197" s="10" t="str">
        <f>IF(A197="","",SUM(Lançamentos!D$9:D197))</f>
        <v/>
      </c>
      <c r="E197" s="1"/>
      <c r="F197" s="11" t="str">
        <f>IF(A197="","",SUM(Lançamentos!F$9:F197))</f>
        <v/>
      </c>
      <c r="G197" s="11" t="str">
        <f>IF(A197="","",SUM(Lançamentos!G$9:G197))</f>
        <v/>
      </c>
      <c r="H197" s="11" t="str">
        <f>IF(A197="","",SUM(Lançamentos!H$9:H197))</f>
        <v/>
      </c>
      <c r="I197" s="12" t="str">
        <f>IF(A197="","",SUM(Lançamentos!C$9:C197))</f>
        <v/>
      </c>
      <c r="J197" s="13" t="str">
        <f>IF(Lançamentos!J197="","",Lançamentos!J197)</f>
        <v/>
      </c>
    </row>
    <row r="198" spans="1:10" ht="23.1" customHeight="1">
      <c r="A198" s="1" t="str">
        <f>IF(ISNUMBER(Lançamentos!A198),Lançamentos!A198,"")</f>
        <v/>
      </c>
      <c r="B198" s="1" t="str">
        <f>IF(Lançamentos!B198="","",Lançamentos!B198)</f>
        <v/>
      </c>
      <c r="C198" s="12" t="str">
        <f>IF(ISNUMBER(Lançamentos!C198),Lançamentos!C198,"")</f>
        <v/>
      </c>
      <c r="D198" s="10" t="str">
        <f>IF(A198="","",SUM(Lançamentos!D$9:D198))</f>
        <v/>
      </c>
      <c r="E198" s="1"/>
      <c r="F198" s="11" t="str">
        <f>IF(A198="","",SUM(Lançamentos!F$9:F198))</f>
        <v/>
      </c>
      <c r="G198" s="11" t="str">
        <f>IF(A198="","",SUM(Lançamentos!G$9:G198))</f>
        <v/>
      </c>
      <c r="H198" s="11" t="str">
        <f>IF(A198="","",SUM(Lançamentos!H$9:H198))</f>
        <v/>
      </c>
      <c r="I198" s="12" t="str">
        <f>IF(A198="","",SUM(Lançamentos!C$9:C198))</f>
        <v/>
      </c>
      <c r="J198" s="13" t="str">
        <f>IF(Lançamentos!J198="","",Lançamentos!J198)</f>
        <v/>
      </c>
    </row>
    <row r="199" spans="1:10" ht="23.1" customHeight="1">
      <c r="A199" s="1" t="str">
        <f>IF(ISNUMBER(Lançamentos!A199),Lançamentos!A199,"")</f>
        <v/>
      </c>
      <c r="B199" s="1" t="str">
        <f>IF(Lançamentos!B199="","",Lançamentos!B199)</f>
        <v/>
      </c>
      <c r="C199" s="12" t="str">
        <f>IF(ISNUMBER(Lançamentos!C199),Lançamentos!C199,"")</f>
        <v/>
      </c>
      <c r="D199" s="10" t="str">
        <f>IF(A199="","",SUM(Lançamentos!D$9:D199))</f>
        <v/>
      </c>
      <c r="E199" s="1"/>
      <c r="F199" s="11" t="str">
        <f>IF(A199="","",SUM(Lançamentos!F$9:F199))</f>
        <v/>
      </c>
      <c r="G199" s="11" t="str">
        <f>IF(A199="","",SUM(Lançamentos!G$9:G199))</f>
        <v/>
      </c>
      <c r="H199" s="11" t="str">
        <f>IF(A199="","",SUM(Lançamentos!H$9:H199))</f>
        <v/>
      </c>
      <c r="I199" s="12" t="str">
        <f>IF(A199="","",SUM(Lançamentos!C$9:C199))</f>
        <v/>
      </c>
      <c r="J199" s="13" t="str">
        <f>IF(Lançamentos!J199="","",Lançamentos!J199)</f>
        <v/>
      </c>
    </row>
    <row r="200" spans="1:10" ht="23.1" customHeight="1">
      <c r="A200" s="1" t="str">
        <f>IF(ISNUMBER(Lançamentos!A200),Lançamentos!A200,"")</f>
        <v/>
      </c>
      <c r="B200" s="1" t="str">
        <f>IF(Lançamentos!B200="","",Lançamentos!B200)</f>
        <v/>
      </c>
      <c r="C200" s="12" t="str">
        <f>IF(ISNUMBER(Lançamentos!C200),Lançamentos!C200,"")</f>
        <v/>
      </c>
      <c r="D200" s="10" t="str">
        <f>IF(A200="","",SUM(Lançamentos!D$9:D200))</f>
        <v/>
      </c>
      <c r="E200" s="1"/>
      <c r="F200" s="11" t="str">
        <f>IF(A200="","",SUM(Lançamentos!F$9:F200))</f>
        <v/>
      </c>
      <c r="G200" s="11" t="str">
        <f>IF(A200="","",SUM(Lançamentos!G$9:G200))</f>
        <v/>
      </c>
      <c r="H200" s="11" t="str">
        <f>IF(A200="","",SUM(Lançamentos!H$9:H200))</f>
        <v/>
      </c>
      <c r="I200" s="12" t="str">
        <f>IF(A200="","",SUM(Lançamentos!C$9:C200))</f>
        <v/>
      </c>
      <c r="J200" s="13" t="str">
        <f>IF(Lançamentos!J200="","",Lançamentos!J200)</f>
        <v/>
      </c>
    </row>
    <row r="201" spans="1:10" ht="23.1" customHeight="1">
      <c r="A201" s="1" t="str">
        <f>IF(ISNUMBER(Lançamentos!A201),Lançamentos!A201,"")</f>
        <v/>
      </c>
      <c r="B201" s="1" t="str">
        <f>IF(Lançamentos!B201="","",Lançamentos!B201)</f>
        <v/>
      </c>
      <c r="C201" s="12" t="str">
        <f>IF(ISNUMBER(Lançamentos!C201),Lançamentos!C201,"")</f>
        <v/>
      </c>
      <c r="D201" s="10" t="str">
        <f>IF(A201="","",SUM(Lançamentos!D$9:D201))</f>
        <v/>
      </c>
      <c r="E201" s="1"/>
      <c r="F201" s="11" t="str">
        <f>IF(A201="","",SUM(Lançamentos!F$9:F201))</f>
        <v/>
      </c>
      <c r="G201" s="11" t="str">
        <f>IF(A201="","",SUM(Lançamentos!G$9:G201))</f>
        <v/>
      </c>
      <c r="H201" s="11" t="str">
        <f>IF(A201="","",SUM(Lançamentos!H$9:H201))</f>
        <v/>
      </c>
      <c r="I201" s="12" t="str">
        <f>IF(A201="","",SUM(Lançamentos!C$9:C201))</f>
        <v/>
      </c>
      <c r="J201" s="13" t="str">
        <f>IF(Lançamentos!J201="","",Lançamentos!J201)</f>
        <v/>
      </c>
    </row>
    <row r="202" spans="1:10" ht="23.1" customHeight="1">
      <c r="A202" s="1" t="str">
        <f>IF(ISNUMBER(Lançamentos!A202),Lançamentos!A202,"")</f>
        <v/>
      </c>
      <c r="B202" s="1" t="str">
        <f>IF(Lançamentos!B202="","",Lançamentos!B202)</f>
        <v/>
      </c>
      <c r="C202" s="12" t="str">
        <f>IF(ISNUMBER(Lançamentos!C202),Lançamentos!C202,"")</f>
        <v/>
      </c>
      <c r="D202" s="10" t="str">
        <f>IF(A202="","",SUM(Lançamentos!D$9:D202))</f>
        <v/>
      </c>
      <c r="E202" s="1"/>
      <c r="F202" s="11" t="str">
        <f>IF(A202="","",SUM(Lançamentos!F$9:F202))</f>
        <v/>
      </c>
      <c r="G202" s="11" t="str">
        <f>IF(A202="","",SUM(Lançamentos!G$9:G202))</f>
        <v/>
      </c>
      <c r="H202" s="11" t="str">
        <f>IF(A202="","",SUM(Lançamentos!H$9:H202))</f>
        <v/>
      </c>
      <c r="I202" s="12" t="str">
        <f>IF(A202="","",SUM(Lançamentos!C$9:C202))</f>
        <v/>
      </c>
      <c r="J202" s="13" t="str">
        <f>IF(Lançamentos!J202="","",Lançamentos!J202)</f>
        <v/>
      </c>
    </row>
    <row r="203" spans="1:10" ht="23.1" customHeight="1">
      <c r="A203" s="1" t="str">
        <f>IF(ISNUMBER(Lançamentos!A203),Lançamentos!A203,"")</f>
        <v/>
      </c>
      <c r="B203" s="1" t="str">
        <f>IF(Lançamentos!B203="","",Lançamentos!B203)</f>
        <v/>
      </c>
      <c r="C203" s="12" t="str">
        <f>IF(ISNUMBER(Lançamentos!C203),Lançamentos!C203,"")</f>
        <v/>
      </c>
      <c r="D203" s="10" t="str">
        <f>IF(A203="","",SUM(Lançamentos!D$9:D203))</f>
        <v/>
      </c>
      <c r="E203" s="1"/>
      <c r="F203" s="11" t="str">
        <f>IF(A203="","",SUM(Lançamentos!F$9:F203))</f>
        <v/>
      </c>
      <c r="G203" s="11" t="str">
        <f>IF(A203="","",SUM(Lançamentos!G$9:G203))</f>
        <v/>
      </c>
      <c r="H203" s="11" t="str">
        <f>IF(A203="","",SUM(Lançamentos!H$9:H203))</f>
        <v/>
      </c>
      <c r="I203" s="12" t="str">
        <f>IF(A203="","",SUM(Lançamentos!C$9:C203))</f>
        <v/>
      </c>
      <c r="J203" s="13" t="str">
        <f>IF(Lançamentos!J203="","",Lançamentos!J203)</f>
        <v/>
      </c>
    </row>
    <row r="204" spans="1:10" ht="23.1" customHeight="1">
      <c r="A204" s="1" t="str">
        <f>IF(ISNUMBER(Lançamentos!A204),Lançamentos!A204,"")</f>
        <v/>
      </c>
      <c r="B204" s="1" t="str">
        <f>IF(Lançamentos!B204="","",Lançamentos!B204)</f>
        <v/>
      </c>
      <c r="C204" s="12" t="str">
        <f>IF(ISNUMBER(Lançamentos!C204),Lançamentos!C204,"")</f>
        <v/>
      </c>
      <c r="D204" s="10" t="str">
        <f>IF(A204="","",SUM(Lançamentos!D$9:D204))</f>
        <v/>
      </c>
      <c r="E204" s="1"/>
      <c r="F204" s="11" t="str">
        <f>IF(A204="","",SUM(Lançamentos!F$9:F204))</f>
        <v/>
      </c>
      <c r="G204" s="11" t="str">
        <f>IF(A204="","",SUM(Lançamentos!G$9:G204))</f>
        <v/>
      </c>
      <c r="H204" s="11" t="str">
        <f>IF(A204="","",SUM(Lançamentos!H$9:H204))</f>
        <v/>
      </c>
      <c r="I204" s="12" t="str">
        <f>IF(A204="","",SUM(Lançamentos!C$9:C204))</f>
        <v/>
      </c>
      <c r="J204" s="13" t="str">
        <f>IF(Lançamentos!J204="","",Lançamentos!J204)</f>
        <v/>
      </c>
    </row>
    <row r="205" spans="1:10" ht="23.1" customHeight="1">
      <c r="A205" s="1" t="str">
        <f>IF(ISNUMBER(Lançamentos!A205),Lançamentos!A205,"")</f>
        <v/>
      </c>
      <c r="B205" s="1" t="str">
        <f>IF(Lançamentos!B205="","",Lançamentos!B205)</f>
        <v/>
      </c>
      <c r="C205" s="12" t="str">
        <f>IF(ISNUMBER(Lançamentos!C205),Lançamentos!C205,"")</f>
        <v/>
      </c>
      <c r="D205" s="10" t="str">
        <f>IF(A205="","",SUM(Lançamentos!D$9:D205))</f>
        <v/>
      </c>
      <c r="E205" s="1"/>
      <c r="F205" s="11" t="str">
        <f>IF(A205="","",SUM(Lançamentos!F$9:F205))</f>
        <v/>
      </c>
      <c r="G205" s="11" t="str">
        <f>IF(A205="","",SUM(Lançamentos!G$9:G205))</f>
        <v/>
      </c>
      <c r="H205" s="11" t="str">
        <f>IF(A205="","",SUM(Lançamentos!H$9:H205))</f>
        <v/>
      </c>
      <c r="I205" s="12" t="str">
        <f>IF(A205="","",SUM(Lançamentos!C$9:C205))</f>
        <v/>
      </c>
      <c r="J205" s="13" t="str">
        <f>IF(Lançamentos!J205="","",Lançamentos!J205)</f>
        <v/>
      </c>
    </row>
    <row r="206" spans="1:10" ht="23.1" customHeight="1">
      <c r="A206" s="1" t="str">
        <f>IF(ISNUMBER(Lançamentos!A206),Lançamentos!A206,"")</f>
        <v/>
      </c>
      <c r="B206" s="1" t="str">
        <f>IF(Lançamentos!B206="","",Lançamentos!B206)</f>
        <v/>
      </c>
      <c r="C206" s="12" t="str">
        <f>IF(ISNUMBER(Lançamentos!C206),Lançamentos!C206,"")</f>
        <v/>
      </c>
      <c r="D206" s="10" t="str">
        <f>IF(A206="","",SUM(Lançamentos!D$9:D206))</f>
        <v/>
      </c>
      <c r="E206" s="1"/>
      <c r="F206" s="11" t="str">
        <f>IF(A206="","",SUM(Lançamentos!F$9:F206))</f>
        <v/>
      </c>
      <c r="G206" s="11" t="str">
        <f>IF(A206="","",SUM(Lançamentos!G$9:G206))</f>
        <v/>
      </c>
      <c r="H206" s="11" t="str">
        <f>IF(A206="","",SUM(Lançamentos!H$9:H206))</f>
        <v/>
      </c>
      <c r="I206" s="12" t="str">
        <f>IF(A206="","",SUM(Lançamentos!C$9:C206))</f>
        <v/>
      </c>
      <c r="J206" s="13" t="str">
        <f>IF(Lançamentos!J206="","",Lançamentos!J206)</f>
        <v/>
      </c>
    </row>
    <row r="207" spans="1:10" ht="23.1" customHeight="1">
      <c r="A207" s="1" t="str">
        <f>IF(ISNUMBER(Lançamentos!A207),Lançamentos!A207,"")</f>
        <v/>
      </c>
      <c r="B207" s="1" t="str">
        <f>IF(Lançamentos!B207="","",Lançamentos!B207)</f>
        <v/>
      </c>
      <c r="C207" s="12" t="str">
        <f>IF(ISNUMBER(Lançamentos!C207),Lançamentos!C207,"")</f>
        <v/>
      </c>
      <c r="D207" s="10" t="str">
        <f>IF(A207="","",SUM(Lançamentos!D$9:D207))</f>
        <v/>
      </c>
      <c r="E207" s="1"/>
      <c r="F207" s="11" t="str">
        <f>IF(A207="","",SUM(Lançamentos!F$9:F207))</f>
        <v/>
      </c>
      <c r="G207" s="11" t="str">
        <f>IF(A207="","",SUM(Lançamentos!G$9:G207))</f>
        <v/>
      </c>
      <c r="H207" s="11" t="str">
        <f>IF(A207="","",SUM(Lançamentos!H$9:H207))</f>
        <v/>
      </c>
      <c r="I207" s="12" t="str">
        <f>IF(A207="","",SUM(Lançamentos!C$9:C207))</f>
        <v/>
      </c>
      <c r="J207" s="13" t="str">
        <f>IF(Lançamentos!J207="","",Lançamentos!J207)</f>
        <v/>
      </c>
    </row>
    <row r="208" spans="1:10" ht="23.1" customHeight="1">
      <c r="A208" s="1" t="str">
        <f>IF(ISNUMBER(Lançamentos!A208),Lançamentos!A208,"")</f>
        <v/>
      </c>
      <c r="B208" s="1" t="str">
        <f>IF(Lançamentos!B208="","",Lançamentos!B208)</f>
        <v/>
      </c>
      <c r="C208" s="12" t="str">
        <f>IF(ISNUMBER(Lançamentos!C208),Lançamentos!C208,"")</f>
        <v/>
      </c>
      <c r="D208" s="10" t="str">
        <f>IF(A208="","",SUM(Lançamentos!D$9:D208))</f>
        <v/>
      </c>
      <c r="E208" s="1"/>
      <c r="F208" s="11" t="str">
        <f>IF(A208="","",SUM(Lançamentos!F$9:F208))</f>
        <v/>
      </c>
      <c r="G208" s="11" t="str">
        <f>IF(A208="","",SUM(Lançamentos!G$9:G208))</f>
        <v/>
      </c>
      <c r="H208" s="11" t="str">
        <f>IF(A208="","",SUM(Lançamentos!H$9:H208))</f>
        <v/>
      </c>
      <c r="I208" s="12" t="str">
        <f>IF(A208="","",SUM(Lançamentos!C$9:C208))</f>
        <v/>
      </c>
      <c r="J208" s="13" t="str">
        <f>IF(Lançamentos!J208="","",Lançamentos!J208)</f>
        <v/>
      </c>
    </row>
    <row r="209" spans="1:10" ht="23.1" customHeight="1">
      <c r="A209" s="1" t="str">
        <f>IF(ISNUMBER(Lançamentos!A209),Lançamentos!A209,"")</f>
        <v/>
      </c>
      <c r="B209" s="1" t="str">
        <f>IF(Lançamentos!B209="","",Lançamentos!B209)</f>
        <v/>
      </c>
      <c r="C209" s="12" t="str">
        <f>IF(ISNUMBER(Lançamentos!C209),Lançamentos!C209,"")</f>
        <v/>
      </c>
      <c r="D209" s="10" t="str">
        <f>IF(A209="","",SUM(Lançamentos!D$9:D209))</f>
        <v/>
      </c>
      <c r="E209" s="1"/>
      <c r="F209" s="11" t="str">
        <f>IF(A209="","",SUM(Lançamentos!F$9:F209))</f>
        <v/>
      </c>
      <c r="G209" s="11" t="str">
        <f>IF(A209="","",SUM(Lançamentos!G$9:G209))</f>
        <v/>
      </c>
      <c r="H209" s="11" t="str">
        <f>IF(A209="","",SUM(Lançamentos!H$9:H209))</f>
        <v/>
      </c>
      <c r="I209" s="12" t="str">
        <f>IF(A209="","",SUM(Lançamentos!C$9:C209))</f>
        <v/>
      </c>
      <c r="J209" s="13" t="str">
        <f>IF(Lançamentos!J209="","",Lançamentos!J209)</f>
        <v/>
      </c>
    </row>
    <row r="210" spans="1:10" ht="23.1" customHeight="1">
      <c r="A210" s="1" t="str">
        <f>IF(ISNUMBER(Lançamentos!A210),Lançamentos!A210,"")</f>
        <v/>
      </c>
      <c r="B210" s="1" t="str">
        <f>IF(Lançamentos!B210="","",Lançamentos!B210)</f>
        <v/>
      </c>
      <c r="C210" s="12" t="str">
        <f>IF(ISNUMBER(Lançamentos!C210),Lançamentos!C210,"")</f>
        <v/>
      </c>
      <c r="D210" s="10" t="str">
        <f>IF(A210="","",SUM(Lançamentos!D$9:D210))</f>
        <v/>
      </c>
      <c r="E210" s="1"/>
      <c r="F210" s="11" t="str">
        <f>IF(A210="","",SUM(Lançamentos!F$9:F210))</f>
        <v/>
      </c>
      <c r="G210" s="11" t="str">
        <f>IF(A210="","",SUM(Lançamentos!G$9:G210))</f>
        <v/>
      </c>
      <c r="H210" s="11" t="str">
        <f>IF(A210="","",SUM(Lançamentos!H$9:H210))</f>
        <v/>
      </c>
      <c r="I210" s="12" t="str">
        <f>IF(A210="","",SUM(Lançamentos!C$9:C210))</f>
        <v/>
      </c>
      <c r="J210" s="13" t="str">
        <f>IF(Lançamentos!J210="","",Lançamentos!J210)</f>
        <v/>
      </c>
    </row>
    <row r="211" spans="1:10" ht="23.1" customHeight="1">
      <c r="A211" s="1" t="str">
        <f>IF(ISNUMBER(Lançamentos!A211),Lançamentos!A211,"")</f>
        <v/>
      </c>
      <c r="B211" s="1" t="str">
        <f>IF(Lançamentos!B211="","",Lançamentos!B211)</f>
        <v/>
      </c>
      <c r="C211" s="12" t="str">
        <f>IF(ISNUMBER(Lançamentos!C211),Lançamentos!C211,"")</f>
        <v/>
      </c>
      <c r="D211" s="10" t="str">
        <f>IF(A211="","",SUM(Lançamentos!D$9:D211))</f>
        <v/>
      </c>
      <c r="E211" s="1"/>
      <c r="F211" s="11" t="str">
        <f>IF(A211="","",SUM(Lançamentos!F$9:F211))</f>
        <v/>
      </c>
      <c r="G211" s="11" t="str">
        <f>IF(A211="","",SUM(Lançamentos!G$9:G211))</f>
        <v/>
      </c>
      <c r="H211" s="11" t="str">
        <f>IF(A211="","",SUM(Lançamentos!H$9:H211))</f>
        <v/>
      </c>
      <c r="I211" s="12" t="str">
        <f>IF(A211="","",SUM(Lançamentos!C$9:C211))</f>
        <v/>
      </c>
      <c r="J211" s="13" t="str">
        <f>IF(Lançamentos!J211="","",Lançamentos!J211)</f>
        <v/>
      </c>
    </row>
    <row r="212" spans="1:10" ht="23.1" customHeight="1">
      <c r="A212" s="1" t="str">
        <f>IF(ISNUMBER(Lançamentos!A212),Lançamentos!A212,"")</f>
        <v/>
      </c>
      <c r="B212" s="1" t="str">
        <f>IF(Lançamentos!B212="","",Lançamentos!B212)</f>
        <v/>
      </c>
      <c r="C212" s="12" t="str">
        <f>IF(ISNUMBER(Lançamentos!C212),Lançamentos!C212,"")</f>
        <v/>
      </c>
      <c r="D212" s="10" t="str">
        <f>IF(A212="","",SUM(Lançamentos!D$9:D212))</f>
        <v/>
      </c>
      <c r="E212" s="1"/>
      <c r="F212" s="11" t="str">
        <f>IF(A212="","",SUM(Lançamentos!F$9:F212))</f>
        <v/>
      </c>
      <c r="G212" s="11" t="str">
        <f>IF(A212="","",SUM(Lançamentos!G$9:G212))</f>
        <v/>
      </c>
      <c r="H212" s="11" t="str">
        <f>IF(A212="","",SUM(Lançamentos!H$9:H212))</f>
        <v/>
      </c>
      <c r="I212" s="12" t="str">
        <f>IF(A212="","",SUM(Lançamentos!C$9:C212))</f>
        <v/>
      </c>
      <c r="J212" s="13" t="str">
        <f>IF(Lançamentos!J212="","",Lançamentos!J212)</f>
        <v/>
      </c>
    </row>
    <row r="213" spans="1:10" ht="23.1" customHeight="1">
      <c r="A213" s="1" t="str">
        <f>IF(ISNUMBER(Lançamentos!A213),Lançamentos!A213,"")</f>
        <v/>
      </c>
      <c r="B213" s="1" t="str">
        <f>IF(Lançamentos!B213="","",Lançamentos!B213)</f>
        <v/>
      </c>
      <c r="C213" s="12" t="str">
        <f>IF(ISNUMBER(Lançamentos!C213),Lançamentos!C213,"")</f>
        <v/>
      </c>
      <c r="D213" s="10" t="str">
        <f>IF(A213="","",SUM(Lançamentos!D$9:D213))</f>
        <v/>
      </c>
      <c r="E213" s="1"/>
      <c r="F213" s="11" t="str">
        <f>IF(A213="","",SUM(Lançamentos!F$9:F213))</f>
        <v/>
      </c>
      <c r="G213" s="11" t="str">
        <f>IF(A213="","",SUM(Lançamentos!G$9:G213))</f>
        <v/>
      </c>
      <c r="H213" s="11" t="str">
        <f>IF(A213="","",SUM(Lançamentos!H$9:H213))</f>
        <v/>
      </c>
      <c r="I213" s="12" t="str">
        <f>IF(A213="","",SUM(Lançamentos!C$9:C213))</f>
        <v/>
      </c>
      <c r="J213" s="13" t="str">
        <f>IF(Lançamentos!J213="","",Lançamentos!J213)</f>
        <v/>
      </c>
    </row>
    <row r="214" spans="1:10" ht="23.1" customHeight="1">
      <c r="A214" s="1" t="str">
        <f>IF(ISNUMBER(Lançamentos!A214),Lançamentos!A214,"")</f>
        <v/>
      </c>
      <c r="B214" s="1" t="str">
        <f>IF(Lançamentos!B214="","",Lançamentos!B214)</f>
        <v/>
      </c>
      <c r="C214" s="12" t="str">
        <f>IF(ISNUMBER(Lançamentos!C214),Lançamentos!C214,"")</f>
        <v/>
      </c>
      <c r="D214" s="10" t="str">
        <f>IF(A214="","",SUM(Lançamentos!D$9:D214))</f>
        <v/>
      </c>
      <c r="E214" s="1"/>
      <c r="F214" s="11" t="str">
        <f>IF(A214="","",SUM(Lançamentos!F$9:F214))</f>
        <v/>
      </c>
      <c r="G214" s="11" t="str">
        <f>IF(A214="","",SUM(Lançamentos!G$9:G214))</f>
        <v/>
      </c>
      <c r="H214" s="11" t="str">
        <f>IF(A214="","",SUM(Lançamentos!H$9:H214))</f>
        <v/>
      </c>
      <c r="I214" s="12" t="str">
        <f>IF(A214="","",SUM(Lançamentos!C$9:C214))</f>
        <v/>
      </c>
      <c r="J214" s="13" t="str">
        <f>IF(Lançamentos!J214="","",Lançamentos!J214)</f>
        <v/>
      </c>
    </row>
    <row r="215" spans="1:10" ht="23.1" customHeight="1">
      <c r="A215" s="1" t="str">
        <f>IF(ISNUMBER(Lançamentos!A215),Lançamentos!A215,"")</f>
        <v/>
      </c>
      <c r="B215" s="1" t="str">
        <f>IF(Lançamentos!B215="","",Lançamentos!B215)</f>
        <v/>
      </c>
      <c r="C215" s="12" t="str">
        <f>IF(ISNUMBER(Lançamentos!C215),Lançamentos!C215,"")</f>
        <v/>
      </c>
      <c r="D215" s="10" t="str">
        <f>IF(A215="","",SUM(Lançamentos!D$9:D215))</f>
        <v/>
      </c>
      <c r="E215" s="1"/>
      <c r="F215" s="11" t="str">
        <f>IF(A215="","",SUM(Lançamentos!F$9:F215))</f>
        <v/>
      </c>
      <c r="G215" s="11" t="str">
        <f>IF(A215="","",SUM(Lançamentos!G$9:G215))</f>
        <v/>
      </c>
      <c r="H215" s="11" t="str">
        <f>IF(A215="","",SUM(Lançamentos!H$9:H215))</f>
        <v/>
      </c>
      <c r="I215" s="12" t="str">
        <f>IF(A215="","",SUM(Lançamentos!C$9:C215))</f>
        <v/>
      </c>
      <c r="J215" s="13" t="str">
        <f>IF(Lançamentos!J215="","",Lançamentos!J215)</f>
        <v/>
      </c>
    </row>
    <row r="216" spans="1:10" ht="23.1" customHeight="1">
      <c r="A216" s="1" t="str">
        <f>IF(ISNUMBER(Lançamentos!A216),Lançamentos!A216,"")</f>
        <v/>
      </c>
      <c r="B216" s="1" t="str">
        <f>IF(Lançamentos!B216="","",Lançamentos!B216)</f>
        <v/>
      </c>
      <c r="C216" s="12" t="str">
        <f>IF(ISNUMBER(Lançamentos!C216),Lançamentos!C216,"")</f>
        <v/>
      </c>
      <c r="D216" s="10" t="str">
        <f>IF(A216="","",SUM(Lançamentos!D$9:D216))</f>
        <v/>
      </c>
      <c r="E216" s="1"/>
      <c r="F216" s="11" t="str">
        <f>IF(A216="","",SUM(Lançamentos!F$9:F216))</f>
        <v/>
      </c>
      <c r="G216" s="11" t="str">
        <f>IF(A216="","",SUM(Lançamentos!G$9:G216))</f>
        <v/>
      </c>
      <c r="H216" s="11" t="str">
        <f>IF(A216="","",SUM(Lançamentos!H$9:H216))</f>
        <v/>
      </c>
      <c r="I216" s="12" t="str">
        <f>IF(A216="","",SUM(Lançamentos!C$9:C216))</f>
        <v/>
      </c>
      <c r="J216" s="13" t="str">
        <f>IF(Lançamentos!J216="","",Lançamentos!J216)</f>
        <v/>
      </c>
    </row>
    <row r="217" spans="1:10" ht="23.1" customHeight="1">
      <c r="A217" s="1" t="str">
        <f>IF(ISNUMBER(Lançamentos!A217),Lançamentos!A217,"")</f>
        <v/>
      </c>
      <c r="B217" s="1" t="str">
        <f>IF(Lançamentos!B217="","",Lançamentos!B217)</f>
        <v/>
      </c>
      <c r="C217" s="12" t="str">
        <f>IF(ISNUMBER(Lançamentos!C217),Lançamentos!C217,"")</f>
        <v/>
      </c>
      <c r="D217" s="10" t="str">
        <f>IF(A217="","",SUM(Lançamentos!D$9:D217))</f>
        <v/>
      </c>
      <c r="E217" s="1"/>
      <c r="F217" s="11" t="str">
        <f>IF(A217="","",SUM(Lançamentos!F$9:F217))</f>
        <v/>
      </c>
      <c r="G217" s="11" t="str">
        <f>IF(A217="","",SUM(Lançamentos!G$9:G217))</f>
        <v/>
      </c>
      <c r="H217" s="11" t="str">
        <f>IF(A217="","",SUM(Lançamentos!H$9:H217))</f>
        <v/>
      </c>
      <c r="I217" s="12" t="str">
        <f>IF(A217="","",SUM(Lançamentos!C$9:C217))</f>
        <v/>
      </c>
      <c r="J217" s="13" t="str">
        <f>IF(Lançamentos!J217="","",Lançamentos!J217)</f>
        <v/>
      </c>
    </row>
    <row r="218" spans="1:10" ht="23.1" customHeight="1">
      <c r="A218" s="1" t="str">
        <f>IF(ISNUMBER(Lançamentos!A218),Lançamentos!A218,"")</f>
        <v/>
      </c>
      <c r="B218" s="1" t="str">
        <f>IF(Lançamentos!B218="","",Lançamentos!B218)</f>
        <v/>
      </c>
      <c r="C218" s="12" t="str">
        <f>IF(ISNUMBER(Lançamentos!C218),Lançamentos!C218,"")</f>
        <v/>
      </c>
      <c r="D218" s="10" t="str">
        <f>IF(A218="","",SUM(Lançamentos!D$9:D218))</f>
        <v/>
      </c>
      <c r="E218" s="1"/>
      <c r="F218" s="11" t="str">
        <f>IF(A218="","",SUM(Lançamentos!F$9:F218))</f>
        <v/>
      </c>
      <c r="G218" s="11" t="str">
        <f>IF(A218="","",SUM(Lançamentos!G$9:G218))</f>
        <v/>
      </c>
      <c r="H218" s="11" t="str">
        <f>IF(A218="","",SUM(Lançamentos!H$9:H218))</f>
        <v/>
      </c>
      <c r="I218" s="12" t="str">
        <f>IF(A218="","",SUM(Lançamentos!C$9:C218))</f>
        <v/>
      </c>
      <c r="J218" s="13" t="str">
        <f>IF(Lançamentos!J218="","",Lançamentos!J218)</f>
        <v/>
      </c>
    </row>
    <row r="219" spans="1:10" ht="23.1" customHeight="1">
      <c r="A219" s="1" t="str">
        <f>IF(ISNUMBER(Lançamentos!A219),Lançamentos!A219,"")</f>
        <v/>
      </c>
      <c r="B219" s="1" t="str">
        <f>IF(Lançamentos!B219="","",Lançamentos!B219)</f>
        <v/>
      </c>
      <c r="C219" s="12" t="str">
        <f>IF(ISNUMBER(Lançamentos!C219),Lançamentos!C219,"")</f>
        <v/>
      </c>
      <c r="D219" s="10" t="str">
        <f>IF(A219="","",SUM(Lançamentos!D$9:D219))</f>
        <v/>
      </c>
      <c r="E219" s="1"/>
      <c r="F219" s="11" t="str">
        <f>IF(A219="","",SUM(Lançamentos!F$9:F219))</f>
        <v/>
      </c>
      <c r="G219" s="11" t="str">
        <f>IF(A219="","",SUM(Lançamentos!G$9:G219))</f>
        <v/>
      </c>
      <c r="H219" s="11" t="str">
        <f>IF(A219="","",SUM(Lançamentos!H$9:H219))</f>
        <v/>
      </c>
      <c r="I219" s="12" t="str">
        <f>IF(A219="","",SUM(Lançamentos!C$9:C219))</f>
        <v/>
      </c>
      <c r="J219" s="13" t="str">
        <f>IF(Lançamentos!J219="","",Lançamentos!J219)</f>
        <v/>
      </c>
    </row>
    <row r="220" spans="1:10" ht="23.1" customHeight="1">
      <c r="A220" s="1" t="str">
        <f>IF(ISNUMBER(Lançamentos!A220),Lançamentos!A220,"")</f>
        <v/>
      </c>
      <c r="B220" s="1" t="str">
        <f>IF(Lançamentos!B220="","",Lançamentos!B220)</f>
        <v/>
      </c>
      <c r="C220" s="12" t="str">
        <f>IF(ISNUMBER(Lançamentos!C220),Lançamentos!C220,"")</f>
        <v/>
      </c>
      <c r="D220" s="10" t="str">
        <f>IF(A220="","",SUM(Lançamentos!D$9:D220))</f>
        <v/>
      </c>
      <c r="E220" s="1"/>
      <c r="F220" s="11" t="str">
        <f>IF(A220="","",SUM(Lançamentos!F$9:F220))</f>
        <v/>
      </c>
      <c r="G220" s="11" t="str">
        <f>IF(A220="","",SUM(Lançamentos!G$9:G220))</f>
        <v/>
      </c>
      <c r="H220" s="11" t="str">
        <f>IF(A220="","",SUM(Lançamentos!H$9:H220))</f>
        <v/>
      </c>
      <c r="I220" s="12" t="str">
        <f>IF(A220="","",SUM(Lançamentos!C$9:C220))</f>
        <v/>
      </c>
      <c r="J220" s="13" t="str">
        <f>IF(Lançamentos!J220="","",Lançamentos!J220)</f>
        <v/>
      </c>
    </row>
    <row r="221" spans="1:10" ht="23.1" customHeight="1">
      <c r="A221" s="1" t="str">
        <f>IF(ISNUMBER(Lançamentos!A221),Lançamentos!A221,"")</f>
        <v/>
      </c>
      <c r="B221" s="1" t="str">
        <f>IF(Lançamentos!B221="","",Lançamentos!B221)</f>
        <v/>
      </c>
      <c r="C221" s="12" t="str">
        <f>IF(ISNUMBER(Lançamentos!C221),Lançamentos!C221,"")</f>
        <v/>
      </c>
      <c r="D221" s="10" t="str">
        <f>IF(A221="","",SUM(Lançamentos!D$9:D221))</f>
        <v/>
      </c>
      <c r="E221" s="1"/>
      <c r="F221" s="11" t="str">
        <f>IF(A221="","",SUM(Lançamentos!F$9:F221))</f>
        <v/>
      </c>
      <c r="G221" s="11" t="str">
        <f>IF(A221="","",SUM(Lançamentos!G$9:G221))</f>
        <v/>
      </c>
      <c r="H221" s="11" t="str">
        <f>IF(A221="","",SUM(Lançamentos!H$9:H221))</f>
        <v/>
      </c>
      <c r="I221" s="12" t="str">
        <f>IF(A221="","",SUM(Lançamentos!C$9:C221))</f>
        <v/>
      </c>
      <c r="J221" s="13" t="str">
        <f>IF(Lançamentos!J221="","",Lançamentos!J221)</f>
        <v/>
      </c>
    </row>
    <row r="222" spans="1:10" ht="23.1" customHeight="1">
      <c r="A222" s="1" t="str">
        <f>IF(ISNUMBER(Lançamentos!A222),Lançamentos!A222,"")</f>
        <v/>
      </c>
      <c r="B222" s="1" t="str">
        <f>IF(Lançamentos!B222="","",Lançamentos!B222)</f>
        <v/>
      </c>
      <c r="C222" s="12" t="str">
        <f>IF(ISNUMBER(Lançamentos!C222),Lançamentos!C222,"")</f>
        <v/>
      </c>
      <c r="D222" s="10" t="str">
        <f>IF(A222="","",SUM(Lançamentos!D$9:D222))</f>
        <v/>
      </c>
      <c r="E222" s="1"/>
      <c r="F222" s="11" t="str">
        <f>IF(A222="","",SUM(Lançamentos!F$9:F222))</f>
        <v/>
      </c>
      <c r="G222" s="11" t="str">
        <f>IF(A222="","",SUM(Lançamentos!G$9:G222))</f>
        <v/>
      </c>
      <c r="H222" s="11" t="str">
        <f>IF(A222="","",SUM(Lançamentos!H$9:H222))</f>
        <v/>
      </c>
      <c r="I222" s="12" t="str">
        <f>IF(A222="","",SUM(Lançamentos!C$9:C222))</f>
        <v/>
      </c>
      <c r="J222" s="13" t="str">
        <f>IF(Lançamentos!J222="","",Lançamentos!J222)</f>
        <v/>
      </c>
    </row>
    <row r="223" spans="1:10" ht="23.1" customHeight="1">
      <c r="A223" s="1" t="str">
        <f>IF(ISNUMBER(Lançamentos!A223),Lançamentos!A223,"")</f>
        <v/>
      </c>
      <c r="B223" s="1" t="str">
        <f>IF(Lançamentos!B223="","",Lançamentos!B223)</f>
        <v/>
      </c>
      <c r="C223" s="12" t="str">
        <f>IF(ISNUMBER(Lançamentos!C223),Lançamentos!C223,"")</f>
        <v/>
      </c>
      <c r="D223" s="10" t="str">
        <f>IF(A223="","",SUM(Lançamentos!D$9:D223))</f>
        <v/>
      </c>
      <c r="E223" s="1"/>
      <c r="F223" s="11" t="str">
        <f>IF(A223="","",SUM(Lançamentos!F$9:F223))</f>
        <v/>
      </c>
      <c r="G223" s="11" t="str">
        <f>IF(A223="","",SUM(Lançamentos!G$9:G223))</f>
        <v/>
      </c>
      <c r="H223" s="11" t="str">
        <f>IF(A223="","",SUM(Lançamentos!H$9:H223))</f>
        <v/>
      </c>
      <c r="I223" s="12" t="str">
        <f>IF(A223="","",SUM(Lançamentos!C$9:C223))</f>
        <v/>
      </c>
      <c r="J223" s="13" t="str">
        <f>IF(Lançamentos!J223="","",Lançamentos!J223)</f>
        <v/>
      </c>
    </row>
    <row r="224" spans="1:10" ht="23.1" customHeight="1">
      <c r="A224" s="1" t="str">
        <f>IF(ISNUMBER(Lançamentos!A224),Lançamentos!A224,"")</f>
        <v/>
      </c>
      <c r="B224" s="1" t="str">
        <f>IF(Lançamentos!B224="","",Lançamentos!B224)</f>
        <v/>
      </c>
      <c r="C224" s="12" t="str">
        <f>IF(ISNUMBER(Lançamentos!C224),Lançamentos!C224,"")</f>
        <v/>
      </c>
      <c r="D224" s="10" t="str">
        <f>IF(A224="","",SUM(Lançamentos!D$9:D224))</f>
        <v/>
      </c>
      <c r="E224" s="1"/>
      <c r="F224" s="11" t="str">
        <f>IF(A224="","",SUM(Lançamentos!F$9:F224))</f>
        <v/>
      </c>
      <c r="G224" s="11" t="str">
        <f>IF(A224="","",SUM(Lançamentos!G$9:G224))</f>
        <v/>
      </c>
      <c r="H224" s="11" t="str">
        <f>IF(A224="","",SUM(Lançamentos!H$9:H224))</f>
        <v/>
      </c>
      <c r="I224" s="12" t="str">
        <f>IF(A224="","",SUM(Lançamentos!C$9:C224))</f>
        <v/>
      </c>
      <c r="J224" s="13" t="str">
        <f>IF(Lançamentos!J224="","",Lançamentos!J224)</f>
        <v/>
      </c>
    </row>
    <row r="225" spans="1:10" ht="23.1" customHeight="1">
      <c r="A225" s="1" t="str">
        <f>IF(ISNUMBER(Lançamentos!A225),Lançamentos!A225,"")</f>
        <v/>
      </c>
      <c r="B225" s="1" t="str">
        <f>IF(Lançamentos!B225="","",Lançamentos!B225)</f>
        <v/>
      </c>
      <c r="C225" s="12" t="str">
        <f>IF(ISNUMBER(Lançamentos!C225),Lançamentos!C225,"")</f>
        <v/>
      </c>
      <c r="D225" s="10" t="str">
        <f>IF(A225="","",SUM(Lançamentos!D$9:D225))</f>
        <v/>
      </c>
      <c r="E225" s="1"/>
      <c r="F225" s="11" t="str">
        <f>IF(A225="","",SUM(Lançamentos!F$9:F225))</f>
        <v/>
      </c>
      <c r="G225" s="11" t="str">
        <f>IF(A225="","",SUM(Lançamentos!G$9:G225))</f>
        <v/>
      </c>
      <c r="H225" s="11" t="str">
        <f>IF(A225="","",SUM(Lançamentos!H$9:H225))</f>
        <v/>
      </c>
      <c r="I225" s="12" t="str">
        <f>IF(A225="","",SUM(Lançamentos!C$9:C225))</f>
        <v/>
      </c>
      <c r="J225" s="13" t="str">
        <f>IF(Lançamentos!J225="","",Lançamentos!J225)</f>
        <v/>
      </c>
    </row>
    <row r="226" spans="1:10" ht="23.1" customHeight="1">
      <c r="A226" s="1" t="str">
        <f>IF(ISNUMBER(Lançamentos!A226),Lançamentos!A226,"")</f>
        <v/>
      </c>
      <c r="B226" s="1" t="str">
        <f>IF(Lançamentos!B226="","",Lançamentos!B226)</f>
        <v/>
      </c>
      <c r="C226" s="12" t="str">
        <f>IF(ISNUMBER(Lançamentos!C226),Lançamentos!C226,"")</f>
        <v/>
      </c>
      <c r="D226" s="10" t="str">
        <f>IF(A226="","",SUM(Lançamentos!D$9:D226))</f>
        <v/>
      </c>
      <c r="E226" s="1"/>
      <c r="F226" s="11" t="str">
        <f>IF(A226="","",SUM(Lançamentos!F$9:F226))</f>
        <v/>
      </c>
      <c r="G226" s="11" t="str">
        <f>IF(A226="","",SUM(Lançamentos!G$9:G226))</f>
        <v/>
      </c>
      <c r="H226" s="11" t="str">
        <f>IF(A226="","",SUM(Lançamentos!H$9:H226))</f>
        <v/>
      </c>
      <c r="I226" s="12" t="str">
        <f>IF(A226="","",SUM(Lançamentos!C$9:C226))</f>
        <v/>
      </c>
      <c r="J226" s="13" t="str">
        <f>IF(Lançamentos!J226="","",Lançamentos!J226)</f>
        <v/>
      </c>
    </row>
    <row r="227" spans="1:10" ht="23.1" customHeight="1">
      <c r="A227" s="1" t="str">
        <f>IF(ISNUMBER(Lançamentos!A227),Lançamentos!A227,"")</f>
        <v/>
      </c>
      <c r="B227" s="1" t="str">
        <f>IF(Lançamentos!B227="","",Lançamentos!B227)</f>
        <v/>
      </c>
      <c r="C227" s="12" t="str">
        <f>IF(ISNUMBER(Lançamentos!C227),Lançamentos!C227,"")</f>
        <v/>
      </c>
      <c r="D227" s="10" t="str">
        <f>IF(A227="","",SUM(Lançamentos!D$9:D227))</f>
        <v/>
      </c>
      <c r="E227" s="1"/>
      <c r="F227" s="11" t="str">
        <f>IF(A227="","",SUM(Lançamentos!F$9:F227))</f>
        <v/>
      </c>
      <c r="G227" s="11" t="str">
        <f>IF(A227="","",SUM(Lançamentos!G$9:G227))</f>
        <v/>
      </c>
      <c r="H227" s="11" t="str">
        <f>IF(A227="","",SUM(Lançamentos!H$9:H227))</f>
        <v/>
      </c>
      <c r="I227" s="12" t="str">
        <f>IF(A227="","",SUM(Lançamentos!C$9:C227))</f>
        <v/>
      </c>
      <c r="J227" s="13" t="str">
        <f>IF(Lançamentos!J227="","",Lançamentos!J227)</f>
        <v/>
      </c>
    </row>
    <row r="228" spans="1:10" ht="23.1" customHeight="1">
      <c r="A228" s="1" t="str">
        <f>IF(ISNUMBER(Lançamentos!A228),Lançamentos!A228,"")</f>
        <v/>
      </c>
      <c r="B228" s="1" t="str">
        <f>IF(Lançamentos!B228="","",Lançamentos!B228)</f>
        <v/>
      </c>
      <c r="C228" s="12" t="str">
        <f>IF(ISNUMBER(Lançamentos!C228),Lançamentos!C228,"")</f>
        <v/>
      </c>
      <c r="D228" s="10" t="str">
        <f>IF(A228="","",SUM(Lançamentos!D$9:D228))</f>
        <v/>
      </c>
      <c r="E228" s="1"/>
      <c r="F228" s="11" t="str">
        <f>IF(A228="","",SUM(Lançamentos!F$9:F228))</f>
        <v/>
      </c>
      <c r="G228" s="11" t="str">
        <f>IF(A228="","",SUM(Lançamentos!G$9:G228))</f>
        <v/>
      </c>
      <c r="H228" s="11" t="str">
        <f>IF(A228="","",SUM(Lançamentos!H$9:H228))</f>
        <v/>
      </c>
      <c r="I228" s="12" t="str">
        <f>IF(A228="","",SUM(Lançamentos!C$9:C228))</f>
        <v/>
      </c>
      <c r="J228" s="13" t="str">
        <f>IF(Lançamentos!J228="","",Lançamentos!J228)</f>
        <v/>
      </c>
    </row>
    <row r="229" spans="1:10" ht="23.1" customHeight="1">
      <c r="A229" s="1" t="str">
        <f>IF(ISNUMBER(Lançamentos!A229),Lançamentos!A229,"")</f>
        <v/>
      </c>
      <c r="B229" s="1" t="str">
        <f>IF(Lançamentos!B229="","",Lançamentos!B229)</f>
        <v/>
      </c>
      <c r="C229" s="12" t="str">
        <f>IF(ISNUMBER(Lançamentos!C229),Lançamentos!C229,"")</f>
        <v/>
      </c>
      <c r="D229" s="10" t="str">
        <f>IF(A229="","",SUM(Lançamentos!D$9:D229))</f>
        <v/>
      </c>
      <c r="E229" s="1"/>
      <c r="F229" s="11" t="str">
        <f>IF(A229="","",SUM(Lançamentos!F$9:F229))</f>
        <v/>
      </c>
      <c r="G229" s="11" t="str">
        <f>IF(A229="","",SUM(Lançamentos!G$9:G229))</f>
        <v/>
      </c>
      <c r="H229" s="11" t="str">
        <f>IF(A229="","",SUM(Lançamentos!H$9:H229))</f>
        <v/>
      </c>
      <c r="I229" s="12" t="str">
        <f>IF(A229="","",SUM(Lançamentos!C$9:C229))</f>
        <v/>
      </c>
      <c r="J229" s="13" t="str">
        <f>IF(Lançamentos!J229="","",Lançamentos!J229)</f>
        <v/>
      </c>
    </row>
    <row r="230" spans="1:10" ht="23.1" customHeight="1">
      <c r="A230" s="1" t="str">
        <f>IF(ISNUMBER(Lançamentos!A230),Lançamentos!A230,"")</f>
        <v/>
      </c>
      <c r="B230" s="1" t="str">
        <f>IF(Lançamentos!B230="","",Lançamentos!B230)</f>
        <v/>
      </c>
      <c r="C230" s="12" t="str">
        <f>IF(ISNUMBER(Lançamentos!C230),Lançamentos!C230,"")</f>
        <v/>
      </c>
      <c r="D230" s="10" t="str">
        <f>IF(A230="","",SUM(Lançamentos!D$9:D230))</f>
        <v/>
      </c>
      <c r="E230" s="1"/>
      <c r="F230" s="11" t="str">
        <f>IF(A230="","",SUM(Lançamentos!F$9:F230))</f>
        <v/>
      </c>
      <c r="G230" s="11" t="str">
        <f>IF(A230="","",SUM(Lançamentos!G$9:G230))</f>
        <v/>
      </c>
      <c r="H230" s="11" t="str">
        <f>IF(A230="","",SUM(Lançamentos!H$9:H230))</f>
        <v/>
      </c>
      <c r="I230" s="12" t="str">
        <f>IF(A230="","",SUM(Lançamentos!C$9:C230))</f>
        <v/>
      </c>
      <c r="J230" s="13" t="str">
        <f>IF(Lançamentos!J230="","",Lançamentos!J230)</f>
        <v/>
      </c>
    </row>
    <row r="231" spans="1:10" ht="23.1" customHeight="1">
      <c r="A231" s="1" t="str">
        <f>IF(ISNUMBER(Lançamentos!A231),Lançamentos!A231,"")</f>
        <v/>
      </c>
      <c r="B231" s="1" t="str">
        <f>IF(Lançamentos!B231="","",Lançamentos!B231)</f>
        <v/>
      </c>
      <c r="C231" s="12" t="str">
        <f>IF(ISNUMBER(Lançamentos!C231),Lançamentos!C231,"")</f>
        <v/>
      </c>
      <c r="D231" s="10" t="str">
        <f>IF(A231="","",SUM(Lançamentos!D$9:D231))</f>
        <v/>
      </c>
      <c r="E231" s="1"/>
      <c r="F231" s="11" t="str">
        <f>IF(A231="","",SUM(Lançamentos!F$9:F231))</f>
        <v/>
      </c>
      <c r="G231" s="11" t="str">
        <f>IF(A231="","",SUM(Lançamentos!G$9:G231))</f>
        <v/>
      </c>
      <c r="H231" s="11" t="str">
        <f>IF(A231="","",SUM(Lançamentos!H$9:H231))</f>
        <v/>
      </c>
      <c r="I231" s="12" t="str">
        <f>IF(A231="","",SUM(Lançamentos!C$9:C231))</f>
        <v/>
      </c>
      <c r="J231" s="13" t="str">
        <f>IF(Lançamentos!J231="","",Lançamentos!J231)</f>
        <v/>
      </c>
    </row>
    <row r="232" spans="1:10" ht="23.1" customHeight="1">
      <c r="A232" s="1" t="str">
        <f>IF(ISNUMBER(Lançamentos!A232),Lançamentos!A232,"")</f>
        <v/>
      </c>
      <c r="B232" s="1" t="str">
        <f>IF(Lançamentos!B232="","",Lançamentos!B232)</f>
        <v/>
      </c>
      <c r="C232" s="12" t="str">
        <f>IF(ISNUMBER(Lançamentos!C232),Lançamentos!C232,"")</f>
        <v/>
      </c>
      <c r="D232" s="10" t="str">
        <f>IF(A232="","",SUM(Lançamentos!D$9:D232))</f>
        <v/>
      </c>
      <c r="E232" s="1"/>
      <c r="F232" s="11" t="str">
        <f>IF(A232="","",SUM(Lançamentos!F$9:F232))</f>
        <v/>
      </c>
      <c r="G232" s="11" t="str">
        <f>IF(A232="","",SUM(Lançamentos!G$9:G232))</f>
        <v/>
      </c>
      <c r="H232" s="11" t="str">
        <f>IF(A232="","",SUM(Lançamentos!H$9:H232))</f>
        <v/>
      </c>
      <c r="I232" s="12" t="str">
        <f>IF(A232="","",SUM(Lançamentos!C$9:C232))</f>
        <v/>
      </c>
      <c r="J232" s="13" t="str">
        <f>IF(Lançamentos!J232="","",Lançamentos!J232)</f>
        <v/>
      </c>
    </row>
    <row r="233" spans="1:10" ht="23.1" customHeight="1">
      <c r="A233" s="1" t="str">
        <f>IF(ISNUMBER(Lançamentos!A233),Lançamentos!A233,"")</f>
        <v/>
      </c>
      <c r="B233" s="1" t="str">
        <f>IF(Lançamentos!B233="","",Lançamentos!B233)</f>
        <v/>
      </c>
      <c r="C233" s="12" t="str">
        <f>IF(ISNUMBER(Lançamentos!C233),Lançamentos!C233,"")</f>
        <v/>
      </c>
      <c r="D233" s="10" t="str">
        <f>IF(A233="","",SUM(Lançamentos!D$9:D233))</f>
        <v/>
      </c>
      <c r="E233" s="1"/>
      <c r="F233" s="11" t="str">
        <f>IF(A233="","",SUM(Lançamentos!F$9:F233))</f>
        <v/>
      </c>
      <c r="G233" s="11" t="str">
        <f>IF(A233="","",SUM(Lançamentos!G$9:G233))</f>
        <v/>
      </c>
      <c r="H233" s="11" t="str">
        <f>IF(A233="","",SUM(Lançamentos!H$9:H233))</f>
        <v/>
      </c>
      <c r="I233" s="12" t="str">
        <f>IF(A233="","",SUM(Lançamentos!C$9:C233))</f>
        <v/>
      </c>
      <c r="J233" s="13" t="str">
        <f>IF(Lançamentos!J233="","",Lançamentos!J233)</f>
        <v/>
      </c>
    </row>
    <row r="234" spans="1:10" ht="23.1" customHeight="1">
      <c r="A234" s="1" t="str">
        <f>IF(ISNUMBER(Lançamentos!A234),Lançamentos!A234,"")</f>
        <v/>
      </c>
      <c r="B234" s="1" t="str">
        <f>IF(Lançamentos!B234="","",Lançamentos!B234)</f>
        <v/>
      </c>
      <c r="C234" s="12" t="str">
        <f>IF(ISNUMBER(Lançamentos!C234),Lançamentos!C234,"")</f>
        <v/>
      </c>
      <c r="D234" s="10" t="str">
        <f>IF(A234="","",SUM(Lançamentos!D$9:D234))</f>
        <v/>
      </c>
      <c r="E234" s="1"/>
      <c r="F234" s="11" t="str">
        <f>IF(A234="","",SUM(Lançamentos!F$9:F234))</f>
        <v/>
      </c>
      <c r="G234" s="11" t="str">
        <f>IF(A234="","",SUM(Lançamentos!G$9:G234))</f>
        <v/>
      </c>
      <c r="H234" s="11" t="str">
        <f>IF(A234="","",SUM(Lançamentos!H$9:H234))</f>
        <v/>
      </c>
      <c r="I234" s="12" t="str">
        <f>IF(A234="","",SUM(Lançamentos!C$9:C234))</f>
        <v/>
      </c>
      <c r="J234" s="13" t="str">
        <f>IF(Lançamentos!J234="","",Lançamentos!J234)</f>
        <v/>
      </c>
    </row>
    <row r="235" spans="1:10" ht="23.1" customHeight="1">
      <c r="A235" s="1" t="str">
        <f>IF(ISNUMBER(Lançamentos!A235),Lançamentos!A235,"")</f>
        <v/>
      </c>
      <c r="B235" s="1" t="str">
        <f>IF(Lançamentos!B235="","",Lançamentos!B235)</f>
        <v/>
      </c>
      <c r="C235" s="12" t="str">
        <f>IF(ISNUMBER(Lançamentos!C235),Lançamentos!C235,"")</f>
        <v/>
      </c>
      <c r="D235" s="10" t="str">
        <f>IF(A235="","",SUM(Lançamentos!D$9:D235))</f>
        <v/>
      </c>
      <c r="E235" s="1"/>
      <c r="F235" s="11" t="str">
        <f>IF(A235="","",SUM(Lançamentos!F$9:F235))</f>
        <v/>
      </c>
      <c r="G235" s="11" t="str">
        <f>IF(A235="","",SUM(Lançamentos!G$9:G235))</f>
        <v/>
      </c>
      <c r="H235" s="11" t="str">
        <f>IF(A235="","",SUM(Lançamentos!H$9:H235))</f>
        <v/>
      </c>
      <c r="I235" s="12" t="str">
        <f>IF(A235="","",SUM(Lançamentos!C$9:C235))</f>
        <v/>
      </c>
      <c r="J235" s="13" t="str">
        <f>IF(Lançamentos!J235="","",Lançamentos!J235)</f>
        <v/>
      </c>
    </row>
    <row r="236" spans="1:10" ht="23.1" customHeight="1">
      <c r="A236" s="1" t="str">
        <f>IF(ISNUMBER(Lançamentos!A236),Lançamentos!A236,"")</f>
        <v/>
      </c>
      <c r="B236" s="1" t="str">
        <f>IF(Lançamentos!B236="","",Lançamentos!B236)</f>
        <v/>
      </c>
      <c r="C236" s="12" t="str">
        <f>IF(ISNUMBER(Lançamentos!C236),Lançamentos!C236,"")</f>
        <v/>
      </c>
      <c r="D236" s="10" t="str">
        <f>IF(A236="","",SUM(Lançamentos!D$9:D236))</f>
        <v/>
      </c>
      <c r="E236" s="1"/>
      <c r="F236" s="11" t="str">
        <f>IF(A236="","",SUM(Lançamentos!F$9:F236))</f>
        <v/>
      </c>
      <c r="G236" s="11" t="str">
        <f>IF(A236="","",SUM(Lançamentos!G$9:G236))</f>
        <v/>
      </c>
      <c r="H236" s="11" t="str">
        <f>IF(A236="","",SUM(Lançamentos!H$9:H236))</f>
        <v/>
      </c>
      <c r="I236" s="12" t="str">
        <f>IF(A236="","",SUM(Lançamentos!C$9:C236))</f>
        <v/>
      </c>
      <c r="J236" s="13" t="str">
        <f>IF(Lançamentos!J236="","",Lançamentos!J236)</f>
        <v/>
      </c>
    </row>
    <row r="237" spans="1:10" ht="23.1" customHeight="1">
      <c r="A237" s="1" t="str">
        <f>IF(ISNUMBER(Lançamentos!A237),Lançamentos!A237,"")</f>
        <v/>
      </c>
      <c r="B237" s="1" t="str">
        <f>IF(Lançamentos!B237="","",Lançamentos!B237)</f>
        <v/>
      </c>
      <c r="C237" s="12" t="str">
        <f>IF(ISNUMBER(Lançamentos!C237),Lançamentos!C237,"")</f>
        <v/>
      </c>
      <c r="D237" s="10" t="str">
        <f>IF(A237="","",SUM(Lançamentos!D$9:D237))</f>
        <v/>
      </c>
      <c r="E237" s="1"/>
      <c r="F237" s="11" t="str">
        <f>IF(A237="","",SUM(Lançamentos!F$9:F237))</f>
        <v/>
      </c>
      <c r="G237" s="11" t="str">
        <f>IF(A237="","",SUM(Lançamentos!G$9:G237))</f>
        <v/>
      </c>
      <c r="H237" s="11" t="str">
        <f>IF(A237="","",SUM(Lançamentos!H$9:H237))</f>
        <v/>
      </c>
      <c r="I237" s="12" t="str">
        <f>IF(A237="","",SUM(Lançamentos!C$9:C237))</f>
        <v/>
      </c>
      <c r="J237" s="13" t="str">
        <f>IF(Lançamentos!J237="","",Lançamentos!J237)</f>
        <v/>
      </c>
    </row>
    <row r="238" spans="1:10" ht="23.1" customHeight="1">
      <c r="A238" s="1" t="str">
        <f>IF(ISNUMBER(Lançamentos!A238),Lançamentos!A238,"")</f>
        <v/>
      </c>
      <c r="B238" s="1" t="str">
        <f>IF(Lançamentos!B238="","",Lançamentos!B238)</f>
        <v/>
      </c>
      <c r="C238" s="12" t="str">
        <f>IF(ISNUMBER(Lançamentos!C238),Lançamentos!C238,"")</f>
        <v/>
      </c>
      <c r="D238" s="10" t="str">
        <f>IF(A238="","",SUM(Lançamentos!D$9:D238))</f>
        <v/>
      </c>
      <c r="E238" s="1"/>
      <c r="F238" s="11" t="str">
        <f>IF(A238="","",SUM(Lançamentos!F$9:F238))</f>
        <v/>
      </c>
      <c r="G238" s="11" t="str">
        <f>IF(A238="","",SUM(Lançamentos!G$9:G238))</f>
        <v/>
      </c>
      <c r="H238" s="11" t="str">
        <f>IF(A238="","",SUM(Lançamentos!H$9:H238))</f>
        <v/>
      </c>
      <c r="I238" s="12" t="str">
        <f>IF(A238="","",SUM(Lançamentos!C$9:C238))</f>
        <v/>
      </c>
      <c r="J238" s="13" t="str">
        <f>IF(Lançamentos!J238="","",Lançamentos!J238)</f>
        <v/>
      </c>
    </row>
    <row r="239" spans="1:10" ht="23.1" customHeight="1">
      <c r="A239" s="1" t="str">
        <f>IF(ISNUMBER(Lançamentos!A239),Lançamentos!A239,"")</f>
        <v/>
      </c>
      <c r="B239" s="1" t="str">
        <f>IF(Lançamentos!B239="","",Lançamentos!B239)</f>
        <v/>
      </c>
      <c r="C239" s="12" t="str">
        <f>IF(ISNUMBER(Lançamentos!C239),Lançamentos!C239,"")</f>
        <v/>
      </c>
      <c r="D239" s="10" t="str">
        <f>IF(A239="","",SUM(Lançamentos!D$9:D239))</f>
        <v/>
      </c>
      <c r="E239" s="1"/>
      <c r="F239" s="11" t="str">
        <f>IF(A239="","",SUM(Lançamentos!F$9:F239))</f>
        <v/>
      </c>
      <c r="G239" s="11" t="str">
        <f>IF(A239="","",SUM(Lançamentos!G$9:G239))</f>
        <v/>
      </c>
      <c r="H239" s="11" t="str">
        <f>IF(A239="","",SUM(Lançamentos!H$9:H239))</f>
        <v/>
      </c>
      <c r="I239" s="12" t="str">
        <f>IF(A239="","",SUM(Lançamentos!C$9:C239))</f>
        <v/>
      </c>
      <c r="J239" s="13" t="str">
        <f>IF(Lançamentos!J239="","",Lançamentos!J239)</f>
        <v/>
      </c>
    </row>
    <row r="240" spans="1:10" ht="23.1" customHeight="1">
      <c r="A240" s="1" t="str">
        <f>IF(ISNUMBER(Lançamentos!A240),Lançamentos!A240,"")</f>
        <v/>
      </c>
      <c r="B240" s="1" t="str">
        <f>IF(Lançamentos!B240="","",Lançamentos!B240)</f>
        <v/>
      </c>
      <c r="C240" s="12" t="str">
        <f>IF(ISNUMBER(Lançamentos!C240),Lançamentos!C240,"")</f>
        <v/>
      </c>
      <c r="D240" s="10" t="str">
        <f>IF(A240="","",SUM(Lançamentos!D$9:D240))</f>
        <v/>
      </c>
      <c r="E240" s="1"/>
      <c r="F240" s="11" t="str">
        <f>IF(A240="","",SUM(Lançamentos!F$9:F240))</f>
        <v/>
      </c>
      <c r="G240" s="11" t="str">
        <f>IF(A240="","",SUM(Lançamentos!G$9:G240))</f>
        <v/>
      </c>
      <c r="H240" s="11" t="str">
        <f>IF(A240="","",SUM(Lançamentos!H$9:H240))</f>
        <v/>
      </c>
      <c r="I240" s="12" t="str">
        <f>IF(A240="","",SUM(Lançamentos!C$9:C240))</f>
        <v/>
      </c>
      <c r="J240" s="13" t="str">
        <f>IF(Lançamentos!J240="","",Lançamentos!J240)</f>
        <v/>
      </c>
    </row>
    <row r="241" spans="1:10" ht="23.1" customHeight="1">
      <c r="A241" s="1" t="str">
        <f>IF(ISNUMBER(Lançamentos!A241),Lançamentos!A241,"")</f>
        <v/>
      </c>
      <c r="B241" s="1" t="str">
        <f>IF(Lançamentos!B241="","",Lançamentos!B241)</f>
        <v/>
      </c>
      <c r="C241" s="12" t="str">
        <f>IF(ISNUMBER(Lançamentos!C241),Lançamentos!C241,"")</f>
        <v/>
      </c>
      <c r="D241" s="10" t="str">
        <f>IF(A241="","",SUM(Lançamentos!D$9:D241))</f>
        <v/>
      </c>
      <c r="E241" s="1"/>
      <c r="F241" s="11" t="str">
        <f>IF(A241="","",SUM(Lançamentos!F$9:F241))</f>
        <v/>
      </c>
      <c r="G241" s="11" t="str">
        <f>IF(A241="","",SUM(Lançamentos!G$9:G241))</f>
        <v/>
      </c>
      <c r="H241" s="11" t="str">
        <f>IF(A241="","",SUM(Lançamentos!H$9:H241))</f>
        <v/>
      </c>
      <c r="I241" s="12" t="str">
        <f>IF(A241="","",SUM(Lançamentos!C$9:C241))</f>
        <v/>
      </c>
      <c r="J241" s="13" t="str">
        <f>IF(Lançamentos!J241="","",Lançamentos!J241)</f>
        <v/>
      </c>
    </row>
    <row r="242" spans="1:10" ht="23.1" customHeight="1">
      <c r="A242" s="1" t="str">
        <f>IF(ISNUMBER(Lançamentos!A242),Lançamentos!A242,"")</f>
        <v/>
      </c>
      <c r="B242" s="1" t="str">
        <f>IF(Lançamentos!B242="","",Lançamentos!B242)</f>
        <v/>
      </c>
      <c r="C242" s="12" t="str">
        <f>IF(ISNUMBER(Lançamentos!C242),Lançamentos!C242,"")</f>
        <v/>
      </c>
      <c r="D242" s="10" t="str">
        <f>IF(A242="","",SUM(Lançamentos!D$9:D242))</f>
        <v/>
      </c>
      <c r="E242" s="1"/>
      <c r="F242" s="11" t="str">
        <f>IF(A242="","",SUM(Lançamentos!F$9:F242))</f>
        <v/>
      </c>
      <c r="G242" s="11" t="str">
        <f>IF(A242="","",SUM(Lançamentos!G$9:G242))</f>
        <v/>
      </c>
      <c r="H242" s="11" t="str">
        <f>IF(A242="","",SUM(Lançamentos!H$9:H242))</f>
        <v/>
      </c>
      <c r="I242" s="12" t="str">
        <f>IF(A242="","",SUM(Lançamentos!C$9:C242))</f>
        <v/>
      </c>
      <c r="J242" s="13" t="str">
        <f>IF(Lançamentos!J242="","",Lançamentos!J242)</f>
        <v/>
      </c>
    </row>
    <row r="243" spans="1:10" ht="23.1" customHeight="1">
      <c r="A243" s="1" t="str">
        <f>IF(ISNUMBER(Lançamentos!A243),Lançamentos!A243,"")</f>
        <v/>
      </c>
      <c r="B243" s="1" t="str">
        <f>IF(Lançamentos!B243="","",Lançamentos!B243)</f>
        <v/>
      </c>
      <c r="C243" s="12" t="str">
        <f>IF(ISNUMBER(Lançamentos!C243),Lançamentos!C243,"")</f>
        <v/>
      </c>
      <c r="D243" s="10" t="str">
        <f>IF(A243="","",SUM(Lançamentos!D$9:D243))</f>
        <v/>
      </c>
      <c r="E243" s="1"/>
      <c r="F243" s="11" t="str">
        <f>IF(A243="","",SUM(Lançamentos!F$9:F243))</f>
        <v/>
      </c>
      <c r="G243" s="11" t="str">
        <f>IF(A243="","",SUM(Lançamentos!G$9:G243))</f>
        <v/>
      </c>
      <c r="H243" s="11" t="str">
        <f>IF(A243="","",SUM(Lançamentos!H$9:H243))</f>
        <v/>
      </c>
      <c r="I243" s="12" t="str">
        <f>IF(A243="","",SUM(Lançamentos!C$9:C243))</f>
        <v/>
      </c>
      <c r="J243" s="13" t="str">
        <f>IF(Lançamentos!J243="","",Lançamentos!J243)</f>
        <v/>
      </c>
    </row>
    <row r="244" spans="1:10" ht="23.1" customHeight="1">
      <c r="A244" s="1" t="str">
        <f>IF(ISNUMBER(Lançamentos!A244),Lançamentos!A244,"")</f>
        <v/>
      </c>
      <c r="B244" s="1" t="str">
        <f>IF(Lançamentos!B244="","",Lançamentos!B244)</f>
        <v/>
      </c>
      <c r="C244" s="12" t="str">
        <f>IF(ISNUMBER(Lançamentos!C244),Lançamentos!C244,"")</f>
        <v/>
      </c>
      <c r="D244" s="10" t="str">
        <f>IF(A244="","",SUM(Lançamentos!D$9:D244))</f>
        <v/>
      </c>
      <c r="E244" s="1"/>
      <c r="F244" s="11" t="str">
        <f>IF(A244="","",SUM(Lançamentos!F$9:F244))</f>
        <v/>
      </c>
      <c r="G244" s="11" t="str">
        <f>IF(A244="","",SUM(Lançamentos!G$9:G244))</f>
        <v/>
      </c>
      <c r="H244" s="11" t="str">
        <f>IF(A244="","",SUM(Lançamentos!H$9:H244))</f>
        <v/>
      </c>
      <c r="I244" s="12" t="str">
        <f>IF(A244="","",SUM(Lançamentos!C$9:C244))</f>
        <v/>
      </c>
      <c r="J244" s="13" t="str">
        <f>IF(Lançamentos!J244="","",Lançamentos!J244)</f>
        <v/>
      </c>
    </row>
    <row r="245" spans="1:10" ht="23.1" customHeight="1">
      <c r="A245" s="1" t="str">
        <f>IF(ISNUMBER(Lançamentos!A245),Lançamentos!A245,"")</f>
        <v/>
      </c>
      <c r="B245" s="1" t="str">
        <f>IF(Lançamentos!B245="","",Lançamentos!B245)</f>
        <v/>
      </c>
      <c r="C245" s="12" t="str">
        <f>IF(ISNUMBER(Lançamentos!C245),Lançamentos!C245,"")</f>
        <v/>
      </c>
      <c r="D245" s="10" t="str">
        <f>IF(A245="","",SUM(Lançamentos!D$9:D245))</f>
        <v/>
      </c>
      <c r="E245" s="1"/>
      <c r="F245" s="11" t="str">
        <f>IF(A245="","",SUM(Lançamentos!F$9:F245))</f>
        <v/>
      </c>
      <c r="G245" s="11" t="str">
        <f>IF(A245="","",SUM(Lançamentos!G$9:G245))</f>
        <v/>
      </c>
      <c r="H245" s="11" t="str">
        <f>IF(A245="","",SUM(Lançamentos!H$9:H245))</f>
        <v/>
      </c>
      <c r="I245" s="12" t="str">
        <f>IF(A245="","",SUM(Lançamentos!C$9:C245))</f>
        <v/>
      </c>
      <c r="J245" s="13" t="str">
        <f>IF(Lançamentos!J245="","",Lançamentos!J245)</f>
        <v/>
      </c>
    </row>
    <row r="246" spans="1:10" ht="23.1" customHeight="1">
      <c r="A246" s="1" t="str">
        <f>IF(ISNUMBER(Lançamentos!A246),Lançamentos!A246,"")</f>
        <v/>
      </c>
      <c r="B246" s="1" t="str">
        <f>IF(Lançamentos!B246="","",Lançamentos!B246)</f>
        <v/>
      </c>
      <c r="C246" s="12" t="str">
        <f>IF(ISNUMBER(Lançamentos!C246),Lançamentos!C246,"")</f>
        <v/>
      </c>
      <c r="D246" s="10" t="str">
        <f>IF(A246="","",SUM(Lançamentos!D$9:D246))</f>
        <v/>
      </c>
      <c r="E246" s="1"/>
      <c r="F246" s="11" t="str">
        <f>IF(A246="","",SUM(Lançamentos!F$9:F246))</f>
        <v/>
      </c>
      <c r="G246" s="11" t="str">
        <f>IF(A246="","",SUM(Lançamentos!G$9:G246))</f>
        <v/>
      </c>
      <c r="H246" s="11" t="str">
        <f>IF(A246="","",SUM(Lançamentos!H$9:H246))</f>
        <v/>
      </c>
      <c r="I246" s="12" t="str">
        <f>IF(A246="","",SUM(Lançamentos!C$9:C246))</f>
        <v/>
      </c>
      <c r="J246" s="13" t="str">
        <f>IF(Lançamentos!J246="","",Lançamentos!J246)</f>
        <v/>
      </c>
    </row>
    <row r="247" spans="1:10" ht="23.1" customHeight="1">
      <c r="A247" s="1" t="str">
        <f>IF(ISNUMBER(Lançamentos!A247),Lançamentos!A247,"")</f>
        <v/>
      </c>
      <c r="B247" s="1" t="str">
        <f>IF(Lançamentos!B247="","",Lançamentos!B247)</f>
        <v/>
      </c>
      <c r="C247" s="12" t="str">
        <f>IF(ISNUMBER(Lançamentos!C247),Lançamentos!C247,"")</f>
        <v/>
      </c>
      <c r="D247" s="10" t="str">
        <f>IF(A247="","",SUM(Lançamentos!D$9:D247))</f>
        <v/>
      </c>
      <c r="E247" s="1"/>
      <c r="F247" s="11" t="str">
        <f>IF(A247="","",SUM(Lançamentos!F$9:F247))</f>
        <v/>
      </c>
      <c r="G247" s="11" t="str">
        <f>IF(A247="","",SUM(Lançamentos!G$9:G247))</f>
        <v/>
      </c>
      <c r="H247" s="11" t="str">
        <f>IF(A247="","",SUM(Lançamentos!H$9:H247))</f>
        <v/>
      </c>
      <c r="I247" s="12" t="str">
        <f>IF(A247="","",SUM(Lançamentos!C$9:C247))</f>
        <v/>
      </c>
      <c r="J247" s="13" t="str">
        <f>IF(Lançamentos!J247="","",Lançamentos!J247)</f>
        <v/>
      </c>
    </row>
    <row r="248" spans="1:10" ht="23.1" customHeight="1">
      <c r="A248" s="1" t="str">
        <f>IF(ISNUMBER(Lançamentos!A248),Lançamentos!A248,"")</f>
        <v/>
      </c>
      <c r="B248" s="1" t="str">
        <f>IF(Lançamentos!B248="","",Lançamentos!B248)</f>
        <v/>
      </c>
      <c r="C248" s="12" t="str">
        <f>IF(ISNUMBER(Lançamentos!C248),Lançamentos!C248,"")</f>
        <v/>
      </c>
      <c r="D248" s="10" t="str">
        <f>IF(A248="","",SUM(Lançamentos!D$9:D248))</f>
        <v/>
      </c>
      <c r="E248" s="1"/>
      <c r="F248" s="11" t="str">
        <f>IF(A248="","",SUM(Lançamentos!F$9:F248))</f>
        <v/>
      </c>
      <c r="G248" s="11" t="str">
        <f>IF(A248="","",SUM(Lançamentos!G$9:G248))</f>
        <v/>
      </c>
      <c r="H248" s="11" t="str">
        <f>IF(A248="","",SUM(Lançamentos!H$9:H248))</f>
        <v/>
      </c>
      <c r="I248" s="12" t="str">
        <f>IF(A248="","",SUM(Lançamentos!C$9:C248))</f>
        <v/>
      </c>
      <c r="J248" s="13" t="str">
        <f>IF(Lançamentos!J248="","",Lançamentos!J248)</f>
        <v/>
      </c>
    </row>
    <row r="249" spans="1:10" ht="23.1" customHeight="1">
      <c r="A249" s="1" t="str">
        <f>IF(ISNUMBER(Lançamentos!A249),Lançamentos!A249,"")</f>
        <v/>
      </c>
      <c r="B249" s="1" t="str">
        <f>IF(Lançamentos!B249="","",Lançamentos!B249)</f>
        <v/>
      </c>
      <c r="C249" s="12" t="str">
        <f>IF(ISNUMBER(Lançamentos!C249),Lançamentos!C249,"")</f>
        <v/>
      </c>
      <c r="D249" s="10" t="str">
        <f>IF(A249="","",SUM(Lançamentos!D$9:D249))</f>
        <v/>
      </c>
      <c r="E249" s="1"/>
      <c r="F249" s="11" t="str">
        <f>IF(A249="","",SUM(Lançamentos!F$9:F249))</f>
        <v/>
      </c>
      <c r="G249" s="11" t="str">
        <f>IF(A249="","",SUM(Lançamentos!G$9:G249))</f>
        <v/>
      </c>
      <c r="H249" s="11" t="str">
        <f>IF(A249="","",SUM(Lançamentos!H$9:H249))</f>
        <v/>
      </c>
      <c r="I249" s="12" t="str">
        <f>IF(A249="","",SUM(Lançamentos!C$9:C249))</f>
        <v/>
      </c>
      <c r="J249" s="13" t="str">
        <f>IF(Lançamentos!J249="","",Lançamentos!J249)</f>
        <v/>
      </c>
    </row>
    <row r="250" spans="1:10" ht="23.1" customHeight="1">
      <c r="A250" s="1" t="str">
        <f>IF(ISNUMBER(Lançamentos!A250),Lançamentos!A250,"")</f>
        <v/>
      </c>
      <c r="B250" s="1" t="str">
        <f>IF(Lançamentos!B250="","",Lançamentos!B250)</f>
        <v/>
      </c>
      <c r="C250" s="12" t="str">
        <f>IF(ISNUMBER(Lançamentos!C250),Lançamentos!C250,"")</f>
        <v/>
      </c>
      <c r="D250" s="10" t="str">
        <f>IF(A250="","",SUM(Lançamentos!D$9:D250))</f>
        <v/>
      </c>
      <c r="E250" s="1"/>
      <c r="F250" s="11" t="str">
        <f>IF(A250="","",SUM(Lançamentos!F$9:F250))</f>
        <v/>
      </c>
      <c r="G250" s="11" t="str">
        <f>IF(A250="","",SUM(Lançamentos!G$9:G250))</f>
        <v/>
      </c>
      <c r="H250" s="11" t="str">
        <f>IF(A250="","",SUM(Lançamentos!H$9:H250))</f>
        <v/>
      </c>
      <c r="I250" s="12" t="str">
        <f>IF(A250="","",SUM(Lançamentos!C$9:C250))</f>
        <v/>
      </c>
      <c r="J250" s="13" t="str">
        <f>IF(Lançamentos!J250="","",Lançamentos!J250)</f>
        <v/>
      </c>
    </row>
    <row r="251" spans="1:10" ht="23.1" customHeight="1">
      <c r="A251" s="1" t="str">
        <f>IF(ISNUMBER(Lançamentos!A251),Lançamentos!A251,"")</f>
        <v/>
      </c>
      <c r="B251" s="1" t="str">
        <f>IF(Lançamentos!B251="","",Lançamentos!B251)</f>
        <v/>
      </c>
      <c r="C251" s="12" t="str">
        <f>IF(ISNUMBER(Lançamentos!C251),Lançamentos!C251,"")</f>
        <v/>
      </c>
      <c r="D251" s="10" t="str">
        <f>IF(A251="","",SUM(Lançamentos!D$9:D251))</f>
        <v/>
      </c>
      <c r="E251" s="1"/>
      <c r="F251" s="11" t="str">
        <f>IF(A251="","",SUM(Lançamentos!F$9:F251))</f>
        <v/>
      </c>
      <c r="G251" s="11" t="str">
        <f>IF(A251="","",SUM(Lançamentos!G$9:G251))</f>
        <v/>
      </c>
      <c r="H251" s="11" t="str">
        <f>IF(A251="","",SUM(Lançamentos!H$9:H251))</f>
        <v/>
      </c>
      <c r="I251" s="12" t="str">
        <f>IF(A251="","",SUM(Lançamentos!C$9:C251))</f>
        <v/>
      </c>
      <c r="J251" s="13" t="str">
        <f>IF(Lançamentos!J251="","",Lançamentos!J251)</f>
        <v/>
      </c>
    </row>
    <row r="252" spans="1:10" ht="23.1" customHeight="1">
      <c r="A252" s="1" t="str">
        <f>IF(ISNUMBER(Lançamentos!A252),Lançamentos!A252,"")</f>
        <v/>
      </c>
      <c r="B252" s="1" t="str">
        <f>IF(Lançamentos!B252="","",Lançamentos!B252)</f>
        <v/>
      </c>
      <c r="C252" s="12" t="str">
        <f>IF(ISNUMBER(Lançamentos!C252),Lançamentos!C252,"")</f>
        <v/>
      </c>
      <c r="D252" s="10" t="str">
        <f>IF(A252="","",SUM(Lançamentos!D$9:D252))</f>
        <v/>
      </c>
      <c r="E252" s="1"/>
      <c r="F252" s="11" t="str">
        <f>IF(A252="","",SUM(Lançamentos!F$9:F252))</f>
        <v/>
      </c>
      <c r="G252" s="11" t="str">
        <f>IF(A252="","",SUM(Lançamentos!G$9:G252))</f>
        <v/>
      </c>
      <c r="H252" s="11" t="str">
        <f>IF(A252="","",SUM(Lançamentos!H$9:H252))</f>
        <v/>
      </c>
      <c r="I252" s="12" t="str">
        <f>IF(A252="","",SUM(Lançamentos!C$9:C252))</f>
        <v/>
      </c>
      <c r="J252" s="13" t="str">
        <f>IF(Lançamentos!J252="","",Lançamentos!J252)</f>
        <v/>
      </c>
    </row>
    <row r="253" spans="1:10" ht="23.1" customHeight="1">
      <c r="A253" s="1" t="str">
        <f>IF(ISNUMBER(Lançamentos!A253),Lançamentos!A253,"")</f>
        <v/>
      </c>
      <c r="B253" s="1" t="str">
        <f>IF(Lançamentos!B253="","",Lançamentos!B253)</f>
        <v/>
      </c>
      <c r="C253" s="12" t="str">
        <f>IF(ISNUMBER(Lançamentos!C253),Lançamentos!C253,"")</f>
        <v/>
      </c>
      <c r="D253" s="10" t="str">
        <f>IF(A253="","",SUM(Lançamentos!D$9:D253))</f>
        <v/>
      </c>
      <c r="E253" s="1"/>
      <c r="F253" s="11" t="str">
        <f>IF(A253="","",SUM(Lançamentos!F$9:F253))</f>
        <v/>
      </c>
      <c r="G253" s="11" t="str">
        <f>IF(A253="","",SUM(Lançamentos!G$9:G253))</f>
        <v/>
      </c>
      <c r="H253" s="11" t="str">
        <f>IF(A253="","",SUM(Lançamentos!H$9:H253))</f>
        <v/>
      </c>
      <c r="I253" s="12" t="str">
        <f>IF(A253="","",SUM(Lançamentos!C$9:C253))</f>
        <v/>
      </c>
      <c r="J253" s="13" t="str">
        <f>IF(Lançamentos!J253="","",Lançamentos!J253)</f>
        <v/>
      </c>
    </row>
    <row r="254" spans="1:10" ht="23.1" customHeight="1">
      <c r="A254" s="1" t="str">
        <f>IF(ISNUMBER(Lançamentos!A254),Lançamentos!A254,"")</f>
        <v/>
      </c>
      <c r="B254" s="1" t="str">
        <f>IF(Lançamentos!B254="","",Lançamentos!B254)</f>
        <v/>
      </c>
      <c r="C254" s="12" t="str">
        <f>IF(ISNUMBER(Lançamentos!C254),Lançamentos!C254,"")</f>
        <v/>
      </c>
      <c r="D254" s="10" t="str">
        <f>IF(A254="","",SUM(Lançamentos!D$9:D254))</f>
        <v/>
      </c>
      <c r="E254" s="1"/>
      <c r="F254" s="11" t="str">
        <f>IF(A254="","",SUM(Lançamentos!F$9:F254))</f>
        <v/>
      </c>
      <c r="G254" s="11" t="str">
        <f>IF(A254="","",SUM(Lançamentos!G$9:G254))</f>
        <v/>
      </c>
      <c r="H254" s="11" t="str">
        <f>IF(A254="","",SUM(Lançamentos!H$9:H254))</f>
        <v/>
      </c>
      <c r="I254" s="12" t="str">
        <f>IF(A254="","",SUM(Lançamentos!C$9:C254))</f>
        <v/>
      </c>
      <c r="J254" s="13" t="str">
        <f>IF(Lançamentos!J254="","",Lançamentos!J254)</f>
        <v/>
      </c>
    </row>
    <row r="255" spans="1:10" ht="23.1" customHeight="1">
      <c r="A255" s="1" t="str">
        <f>IF(ISNUMBER(Lançamentos!A255),Lançamentos!A255,"")</f>
        <v/>
      </c>
      <c r="B255" s="1" t="str">
        <f>IF(Lançamentos!B255="","",Lançamentos!B255)</f>
        <v/>
      </c>
      <c r="C255" s="12" t="str">
        <f>IF(ISNUMBER(Lançamentos!C255),Lançamentos!C255,"")</f>
        <v/>
      </c>
      <c r="D255" s="10" t="str">
        <f>IF(A255="","",SUM(Lançamentos!D$9:D255))</f>
        <v/>
      </c>
      <c r="E255" s="1"/>
      <c r="F255" s="11" t="str">
        <f>IF(A255="","",SUM(Lançamentos!F$9:F255))</f>
        <v/>
      </c>
      <c r="G255" s="11" t="str">
        <f>IF(A255="","",SUM(Lançamentos!G$9:G255))</f>
        <v/>
      </c>
      <c r="H255" s="11" t="str">
        <f>IF(A255="","",SUM(Lançamentos!H$9:H255))</f>
        <v/>
      </c>
      <c r="I255" s="12" t="str">
        <f>IF(A255="","",SUM(Lançamentos!C$9:C255))</f>
        <v/>
      </c>
      <c r="J255" s="13" t="str">
        <f>IF(Lançamentos!J255="","",Lançamentos!J255)</f>
        <v/>
      </c>
    </row>
    <row r="256" spans="1:10" ht="23.1" customHeight="1">
      <c r="A256" s="1" t="str">
        <f>IF(ISNUMBER(Lançamentos!A256),Lançamentos!A256,"")</f>
        <v/>
      </c>
      <c r="B256" s="1" t="str">
        <f>IF(Lançamentos!B256="","",Lançamentos!B256)</f>
        <v/>
      </c>
      <c r="C256" s="12" t="str">
        <f>IF(ISNUMBER(Lançamentos!C256),Lançamentos!C256,"")</f>
        <v/>
      </c>
      <c r="D256" s="10" t="str">
        <f>IF(A256="","",SUM(Lançamentos!D$9:D256))</f>
        <v/>
      </c>
      <c r="E256" s="1"/>
      <c r="F256" s="11" t="str">
        <f>IF(A256="","",SUM(Lançamentos!F$9:F256))</f>
        <v/>
      </c>
      <c r="G256" s="11" t="str">
        <f>IF(A256="","",SUM(Lançamentos!G$9:G256))</f>
        <v/>
      </c>
      <c r="H256" s="11" t="str">
        <f>IF(A256="","",SUM(Lançamentos!H$9:H256))</f>
        <v/>
      </c>
      <c r="I256" s="12" t="str">
        <f>IF(A256="","",SUM(Lançamentos!C$9:C256))</f>
        <v/>
      </c>
      <c r="J256" s="13" t="str">
        <f>IF(Lançamentos!J256="","",Lançamentos!J256)</f>
        <v/>
      </c>
    </row>
    <row r="257" spans="1:10" ht="23.1" customHeight="1">
      <c r="A257" s="1" t="str">
        <f>IF(ISNUMBER(Lançamentos!A257),Lançamentos!A257,"")</f>
        <v/>
      </c>
      <c r="B257" s="1" t="str">
        <f>IF(Lançamentos!B257="","",Lançamentos!B257)</f>
        <v/>
      </c>
      <c r="C257" s="12" t="str">
        <f>IF(ISNUMBER(Lançamentos!C257),Lançamentos!C257,"")</f>
        <v/>
      </c>
      <c r="D257" s="10" t="str">
        <f>IF(A257="","",SUM(Lançamentos!D$9:D257))</f>
        <v/>
      </c>
      <c r="E257" s="1"/>
      <c r="F257" s="11" t="str">
        <f>IF(A257="","",SUM(Lançamentos!F$9:F257))</f>
        <v/>
      </c>
      <c r="G257" s="11" t="str">
        <f>IF(A257="","",SUM(Lançamentos!G$9:G257))</f>
        <v/>
      </c>
      <c r="H257" s="11" t="str">
        <f>IF(A257="","",SUM(Lançamentos!H$9:H257))</f>
        <v/>
      </c>
      <c r="I257" s="12" t="str">
        <f>IF(A257="","",SUM(Lançamentos!C$9:C257))</f>
        <v/>
      </c>
      <c r="J257" s="13" t="str">
        <f>IF(Lançamentos!J257="","",Lançamentos!J257)</f>
        <v/>
      </c>
    </row>
    <row r="258" spans="1:10" ht="23.1" customHeight="1">
      <c r="A258" s="1" t="str">
        <f>IF(ISNUMBER(Lançamentos!A258),Lançamentos!A258,"")</f>
        <v/>
      </c>
      <c r="B258" s="1" t="str">
        <f>IF(Lançamentos!B258="","",Lançamentos!B258)</f>
        <v/>
      </c>
      <c r="C258" s="12" t="str">
        <f>IF(ISNUMBER(Lançamentos!C258),Lançamentos!C258,"")</f>
        <v/>
      </c>
      <c r="D258" s="10" t="str">
        <f>IF(A258="","",SUM(Lançamentos!D$9:D258))</f>
        <v/>
      </c>
      <c r="E258" s="1"/>
      <c r="F258" s="11" t="str">
        <f>IF(A258="","",SUM(Lançamentos!F$9:F258))</f>
        <v/>
      </c>
      <c r="G258" s="11" t="str">
        <f>IF(A258="","",SUM(Lançamentos!G$9:G258))</f>
        <v/>
      </c>
      <c r="H258" s="11" t="str">
        <f>IF(A258="","",SUM(Lançamentos!H$9:H258))</f>
        <v/>
      </c>
      <c r="I258" s="12" t="str">
        <f>IF(A258="","",SUM(Lançamentos!C$9:C258))</f>
        <v/>
      </c>
      <c r="J258" s="13" t="str">
        <f>IF(Lançamentos!J258="","",Lançamentos!J258)</f>
        <v/>
      </c>
    </row>
    <row r="259" spans="1:10" ht="23.1" customHeight="1">
      <c r="A259" s="1" t="str">
        <f>IF(ISNUMBER(Lançamentos!A259),Lançamentos!A259,"")</f>
        <v/>
      </c>
      <c r="B259" s="1" t="str">
        <f>IF(Lançamentos!B259="","",Lançamentos!B259)</f>
        <v/>
      </c>
      <c r="C259" s="12" t="str">
        <f>IF(ISNUMBER(Lançamentos!C259),Lançamentos!C259,"")</f>
        <v/>
      </c>
      <c r="D259" s="10" t="str">
        <f>IF(A259="","",SUM(Lançamentos!D$9:D259))</f>
        <v/>
      </c>
      <c r="E259" s="1"/>
      <c r="F259" s="11" t="str">
        <f>IF(A259="","",SUM(Lançamentos!F$9:F259))</f>
        <v/>
      </c>
      <c r="G259" s="11" t="str">
        <f>IF(A259="","",SUM(Lançamentos!G$9:G259))</f>
        <v/>
      </c>
      <c r="H259" s="11" t="str">
        <f>IF(A259="","",SUM(Lançamentos!H$9:H259))</f>
        <v/>
      </c>
      <c r="I259" s="12" t="str">
        <f>IF(A259="","",SUM(Lançamentos!C$9:C259))</f>
        <v/>
      </c>
      <c r="J259" s="13" t="str">
        <f>IF(Lançamentos!J259="","",Lançamentos!J259)</f>
        <v/>
      </c>
    </row>
    <row r="260" spans="1:10" ht="23.1" customHeight="1">
      <c r="A260" s="1" t="str">
        <f>IF(ISNUMBER(Lançamentos!A260),Lançamentos!A260,"")</f>
        <v/>
      </c>
      <c r="B260" s="1" t="str">
        <f>IF(Lançamentos!B260="","",Lançamentos!B260)</f>
        <v/>
      </c>
      <c r="C260" s="12" t="str">
        <f>IF(ISNUMBER(Lançamentos!C260),Lançamentos!C260,"")</f>
        <v/>
      </c>
      <c r="D260" s="10" t="str">
        <f>IF(A260="","",SUM(Lançamentos!D$9:D260))</f>
        <v/>
      </c>
      <c r="E260" s="1"/>
      <c r="F260" s="11" t="str">
        <f>IF(A260="","",SUM(Lançamentos!F$9:F260))</f>
        <v/>
      </c>
      <c r="G260" s="11" t="str">
        <f>IF(A260="","",SUM(Lançamentos!G$9:G260))</f>
        <v/>
      </c>
      <c r="H260" s="11" t="str">
        <f>IF(A260="","",SUM(Lançamentos!H$9:H260))</f>
        <v/>
      </c>
      <c r="I260" s="12" t="str">
        <f>IF(A260="","",SUM(Lançamentos!C$9:C260))</f>
        <v/>
      </c>
      <c r="J260" s="13" t="str">
        <f>IF(Lançamentos!J260="","",Lançamentos!J260)</f>
        <v/>
      </c>
    </row>
    <row r="261" spans="1:10" ht="23.1" customHeight="1">
      <c r="A261" s="1" t="str">
        <f>IF(ISNUMBER(Lançamentos!A261),Lançamentos!A261,"")</f>
        <v/>
      </c>
      <c r="B261" s="1" t="str">
        <f>IF(Lançamentos!B261="","",Lançamentos!B261)</f>
        <v/>
      </c>
      <c r="C261" s="12" t="str">
        <f>IF(ISNUMBER(Lançamentos!C261),Lançamentos!C261,"")</f>
        <v/>
      </c>
      <c r="D261" s="10" t="str">
        <f>IF(A261="","",SUM(Lançamentos!D$9:D261))</f>
        <v/>
      </c>
      <c r="E261" s="1"/>
      <c r="F261" s="11" t="str">
        <f>IF(A261="","",SUM(Lançamentos!F$9:F261))</f>
        <v/>
      </c>
      <c r="G261" s="11" t="str">
        <f>IF(A261="","",SUM(Lançamentos!G$9:G261))</f>
        <v/>
      </c>
      <c r="H261" s="11" t="str">
        <f>IF(A261="","",SUM(Lançamentos!H$9:H261))</f>
        <v/>
      </c>
      <c r="I261" s="12" t="str">
        <f>IF(A261="","",SUM(Lançamentos!C$9:C261))</f>
        <v/>
      </c>
      <c r="J261" s="13" t="str">
        <f>IF(Lançamentos!J261="","",Lançamentos!J261)</f>
        <v/>
      </c>
    </row>
    <row r="262" spans="1:10" ht="23.1" customHeight="1">
      <c r="A262" s="1" t="str">
        <f>IF(ISNUMBER(Lançamentos!A262),Lançamentos!A262,"")</f>
        <v/>
      </c>
      <c r="B262" s="1" t="str">
        <f>IF(Lançamentos!B262="","",Lançamentos!B262)</f>
        <v/>
      </c>
      <c r="C262" s="12" t="str">
        <f>IF(ISNUMBER(Lançamentos!C262),Lançamentos!C262,"")</f>
        <v/>
      </c>
      <c r="D262" s="10" t="str">
        <f>IF(A262="","",SUM(Lançamentos!D$9:D262))</f>
        <v/>
      </c>
      <c r="E262" s="1"/>
      <c r="F262" s="11" t="str">
        <f>IF(A262="","",SUM(Lançamentos!F$9:F262))</f>
        <v/>
      </c>
      <c r="G262" s="11" t="str">
        <f>IF(A262="","",SUM(Lançamentos!G$9:G262))</f>
        <v/>
      </c>
      <c r="H262" s="11" t="str">
        <f>IF(A262="","",SUM(Lançamentos!H$9:H262))</f>
        <v/>
      </c>
      <c r="I262" s="12" t="str">
        <f>IF(A262="","",SUM(Lançamentos!C$9:C262))</f>
        <v/>
      </c>
      <c r="J262" s="13" t="str">
        <f>IF(Lançamentos!J262="","",Lançamentos!J262)</f>
        <v/>
      </c>
    </row>
    <row r="263" spans="1:10" ht="23.1" customHeight="1">
      <c r="A263" s="1" t="str">
        <f>IF(ISNUMBER(Lançamentos!A263),Lançamentos!A263,"")</f>
        <v/>
      </c>
      <c r="B263" s="1" t="str">
        <f>IF(Lançamentos!B263="","",Lançamentos!B263)</f>
        <v/>
      </c>
      <c r="C263" s="12" t="str">
        <f>IF(ISNUMBER(Lançamentos!C263),Lançamentos!C263,"")</f>
        <v/>
      </c>
      <c r="D263" s="10" t="str">
        <f>IF(A263="","",SUM(Lançamentos!D$9:D263))</f>
        <v/>
      </c>
      <c r="E263" s="1"/>
      <c r="F263" s="11" t="str">
        <f>IF(A263="","",SUM(Lançamentos!F$9:F263))</f>
        <v/>
      </c>
      <c r="G263" s="11" t="str">
        <f>IF(A263="","",SUM(Lançamentos!G$9:G263))</f>
        <v/>
      </c>
      <c r="H263" s="11" t="str">
        <f>IF(A263="","",SUM(Lançamentos!H$9:H263))</f>
        <v/>
      </c>
      <c r="I263" s="12" t="str">
        <f>IF(A263="","",SUM(Lançamentos!C$9:C263))</f>
        <v/>
      </c>
      <c r="J263" s="13" t="str">
        <f>IF(Lançamentos!J263="","",Lançamentos!J263)</f>
        <v/>
      </c>
    </row>
    <row r="264" spans="1:10" ht="23.1" customHeight="1">
      <c r="A264" s="1" t="str">
        <f>IF(ISNUMBER(Lançamentos!A264),Lançamentos!A264,"")</f>
        <v/>
      </c>
      <c r="B264" s="1" t="str">
        <f>IF(Lançamentos!B264="","",Lançamentos!B264)</f>
        <v/>
      </c>
      <c r="C264" s="12" t="str">
        <f>IF(ISNUMBER(Lançamentos!C264),Lançamentos!C264,"")</f>
        <v/>
      </c>
      <c r="D264" s="10" t="str">
        <f>IF(A264="","",SUM(Lançamentos!D$9:D264))</f>
        <v/>
      </c>
      <c r="E264" s="1"/>
      <c r="F264" s="11" t="str">
        <f>IF(A264="","",SUM(Lançamentos!F$9:F264))</f>
        <v/>
      </c>
      <c r="G264" s="11" t="str">
        <f>IF(A264="","",SUM(Lançamentos!G$9:G264))</f>
        <v/>
      </c>
      <c r="H264" s="11" t="str">
        <f>IF(A264="","",SUM(Lançamentos!H$9:H264))</f>
        <v/>
      </c>
      <c r="I264" s="12" t="str">
        <f>IF(A264="","",SUM(Lançamentos!C$9:C264))</f>
        <v/>
      </c>
      <c r="J264" s="13" t="str">
        <f>IF(Lançamentos!J264="","",Lançamentos!J264)</f>
        <v/>
      </c>
    </row>
    <row r="265" spans="1:10" ht="23.1" customHeight="1">
      <c r="A265" s="1" t="str">
        <f>IF(ISNUMBER(Lançamentos!A265),Lançamentos!A265,"")</f>
        <v/>
      </c>
      <c r="B265" s="1" t="str">
        <f>IF(Lançamentos!B265="","",Lançamentos!B265)</f>
        <v/>
      </c>
      <c r="C265" s="12" t="str">
        <f>IF(ISNUMBER(Lançamentos!C265),Lançamentos!C265,"")</f>
        <v/>
      </c>
      <c r="D265" s="10" t="str">
        <f>IF(A265="","",SUM(Lançamentos!D$9:D265))</f>
        <v/>
      </c>
      <c r="E265" s="1"/>
      <c r="F265" s="11" t="str">
        <f>IF(A265="","",SUM(Lançamentos!F$9:F265))</f>
        <v/>
      </c>
      <c r="G265" s="11" t="str">
        <f>IF(A265="","",SUM(Lançamentos!G$9:G265))</f>
        <v/>
      </c>
      <c r="H265" s="11" t="str">
        <f>IF(A265="","",SUM(Lançamentos!H$9:H265))</f>
        <v/>
      </c>
      <c r="I265" s="12" t="str">
        <f>IF(A265="","",SUM(Lançamentos!C$9:C265))</f>
        <v/>
      </c>
      <c r="J265" s="13" t="str">
        <f>IF(Lançamentos!J265="","",Lançamentos!J265)</f>
        <v/>
      </c>
    </row>
    <row r="266" spans="1:10" ht="23.1" customHeight="1">
      <c r="A266" s="1" t="str">
        <f>IF(ISNUMBER(Lançamentos!A266),Lançamentos!A266,"")</f>
        <v/>
      </c>
      <c r="B266" s="1" t="str">
        <f>IF(Lançamentos!B266="","",Lançamentos!B266)</f>
        <v/>
      </c>
      <c r="C266" s="12" t="str">
        <f>IF(ISNUMBER(Lançamentos!C266),Lançamentos!C266,"")</f>
        <v/>
      </c>
      <c r="D266" s="10" t="str">
        <f>IF(A266="","",SUM(Lançamentos!D$9:D266))</f>
        <v/>
      </c>
      <c r="E266" s="1"/>
      <c r="F266" s="11" t="str">
        <f>IF(A266="","",SUM(Lançamentos!F$9:F266))</f>
        <v/>
      </c>
      <c r="G266" s="11" t="str">
        <f>IF(A266="","",SUM(Lançamentos!G$9:G266))</f>
        <v/>
      </c>
      <c r="H266" s="11" t="str">
        <f>IF(A266="","",SUM(Lançamentos!H$9:H266))</f>
        <v/>
      </c>
      <c r="I266" s="12" t="str">
        <f>IF(A266="","",SUM(Lançamentos!C$9:C266))</f>
        <v/>
      </c>
      <c r="J266" s="13" t="str">
        <f>IF(Lançamentos!J266="","",Lançamentos!J266)</f>
        <v/>
      </c>
    </row>
    <row r="267" spans="1:10" ht="23.1" customHeight="1">
      <c r="A267" s="1" t="str">
        <f>IF(ISNUMBER(Lançamentos!A267),Lançamentos!A267,"")</f>
        <v/>
      </c>
      <c r="B267" s="1" t="str">
        <f>IF(Lançamentos!B267="","",Lançamentos!B267)</f>
        <v/>
      </c>
      <c r="C267" s="12" t="str">
        <f>IF(ISNUMBER(Lançamentos!C267),Lançamentos!C267,"")</f>
        <v/>
      </c>
      <c r="D267" s="10" t="str">
        <f>IF(A267="","",SUM(Lançamentos!D$9:D267))</f>
        <v/>
      </c>
      <c r="E267" s="1"/>
      <c r="F267" s="11" t="str">
        <f>IF(A267="","",SUM(Lançamentos!F$9:F267))</f>
        <v/>
      </c>
      <c r="G267" s="11" t="str">
        <f>IF(A267="","",SUM(Lançamentos!G$9:G267))</f>
        <v/>
      </c>
      <c r="H267" s="11" t="str">
        <f>IF(A267="","",SUM(Lançamentos!H$9:H267))</f>
        <v/>
      </c>
      <c r="I267" s="12" t="str">
        <f>IF(A267="","",SUM(Lançamentos!C$9:C267))</f>
        <v/>
      </c>
      <c r="J267" s="13" t="str">
        <f>IF(Lançamentos!J267="","",Lançamentos!J267)</f>
        <v/>
      </c>
    </row>
    <row r="268" spans="1:10" ht="23.1" customHeight="1">
      <c r="A268" s="1" t="str">
        <f>IF(ISNUMBER(Lançamentos!A268),Lançamentos!A268,"")</f>
        <v/>
      </c>
      <c r="B268" s="1" t="str">
        <f>IF(Lançamentos!B268="","",Lançamentos!B268)</f>
        <v/>
      </c>
      <c r="C268" s="12" t="str">
        <f>IF(ISNUMBER(Lançamentos!C268),Lançamentos!C268,"")</f>
        <v/>
      </c>
      <c r="D268" s="10" t="str">
        <f>IF(A268="","",SUM(Lançamentos!D$9:D268))</f>
        <v/>
      </c>
      <c r="E268" s="1"/>
      <c r="F268" s="11" t="str">
        <f>IF(A268="","",SUM(Lançamentos!F$9:F268))</f>
        <v/>
      </c>
      <c r="G268" s="11" t="str">
        <f>IF(A268="","",SUM(Lançamentos!G$9:G268))</f>
        <v/>
      </c>
      <c r="H268" s="11" t="str">
        <f>IF(A268="","",SUM(Lançamentos!H$9:H268))</f>
        <v/>
      </c>
      <c r="I268" s="12" t="str">
        <f>IF(A268="","",SUM(Lançamentos!C$9:C268))</f>
        <v/>
      </c>
      <c r="J268" s="13" t="str">
        <f>IF(Lançamentos!J268="","",Lançamentos!J268)</f>
        <v/>
      </c>
    </row>
    <row r="269" spans="1:10" ht="23.1" customHeight="1">
      <c r="A269" s="1" t="str">
        <f>IF(ISNUMBER(Lançamentos!A269),Lançamentos!A269,"")</f>
        <v/>
      </c>
      <c r="B269" s="1" t="str">
        <f>IF(Lançamentos!B269="","",Lançamentos!B269)</f>
        <v/>
      </c>
      <c r="C269" s="12" t="str">
        <f>IF(ISNUMBER(Lançamentos!C269),Lançamentos!C269,"")</f>
        <v/>
      </c>
      <c r="D269" s="10" t="str">
        <f>IF(A269="","",SUM(Lançamentos!D$9:D269))</f>
        <v/>
      </c>
      <c r="E269" s="1"/>
      <c r="F269" s="11" t="str">
        <f>IF(A269="","",SUM(Lançamentos!F$9:F269))</f>
        <v/>
      </c>
      <c r="G269" s="11" t="str">
        <f>IF(A269="","",SUM(Lançamentos!G$9:G269))</f>
        <v/>
      </c>
      <c r="H269" s="11" t="str">
        <f>IF(A269="","",SUM(Lançamentos!H$9:H269))</f>
        <v/>
      </c>
      <c r="I269" s="12" t="str">
        <f>IF(A269="","",SUM(Lançamentos!C$9:C269))</f>
        <v/>
      </c>
      <c r="J269" s="13" t="str">
        <f>IF(Lançamentos!J269="","",Lançamentos!J269)</f>
        <v/>
      </c>
    </row>
    <row r="270" spans="1:10" ht="23.1" customHeight="1">
      <c r="A270" s="1" t="str">
        <f>IF(ISNUMBER(Lançamentos!A270),Lançamentos!A270,"")</f>
        <v/>
      </c>
      <c r="B270" s="1" t="str">
        <f>IF(Lançamentos!B270="","",Lançamentos!B270)</f>
        <v/>
      </c>
      <c r="C270" s="12" t="str">
        <f>IF(ISNUMBER(Lançamentos!C270),Lançamentos!C270,"")</f>
        <v/>
      </c>
      <c r="D270" s="10" t="str">
        <f>IF(A270="","",SUM(Lançamentos!D$9:D270))</f>
        <v/>
      </c>
      <c r="E270" s="1"/>
      <c r="F270" s="11" t="str">
        <f>IF(A270="","",SUM(Lançamentos!F$9:F270))</f>
        <v/>
      </c>
      <c r="G270" s="11" t="str">
        <f>IF(A270="","",SUM(Lançamentos!G$9:G270))</f>
        <v/>
      </c>
      <c r="H270" s="11" t="str">
        <f>IF(A270="","",SUM(Lançamentos!H$9:H270))</f>
        <v/>
      </c>
      <c r="I270" s="12" t="str">
        <f>IF(A270="","",SUM(Lançamentos!C$9:C270))</f>
        <v/>
      </c>
      <c r="J270" s="13" t="str">
        <f>IF(Lançamentos!J270="","",Lançamentos!J270)</f>
        <v/>
      </c>
    </row>
    <row r="271" spans="1:10" ht="23.1" customHeight="1">
      <c r="A271" s="1" t="str">
        <f>IF(ISNUMBER(Lançamentos!A271),Lançamentos!A271,"")</f>
        <v/>
      </c>
      <c r="B271" s="1" t="str">
        <f>IF(Lançamentos!B271="","",Lançamentos!B271)</f>
        <v/>
      </c>
      <c r="C271" s="12" t="str">
        <f>IF(ISNUMBER(Lançamentos!C271),Lançamentos!C271,"")</f>
        <v/>
      </c>
      <c r="D271" s="10" t="str">
        <f>IF(A271="","",SUM(Lançamentos!D$9:D271))</f>
        <v/>
      </c>
      <c r="E271" s="1"/>
      <c r="F271" s="11" t="str">
        <f>IF(A271="","",SUM(Lançamentos!F$9:F271))</f>
        <v/>
      </c>
      <c r="G271" s="11" t="str">
        <f>IF(A271="","",SUM(Lançamentos!G$9:G271))</f>
        <v/>
      </c>
      <c r="H271" s="11" t="str">
        <f>IF(A271="","",SUM(Lançamentos!H$9:H271))</f>
        <v/>
      </c>
      <c r="I271" s="12" t="str">
        <f>IF(A271="","",SUM(Lançamentos!C$9:C271))</f>
        <v/>
      </c>
      <c r="J271" s="13" t="str">
        <f>IF(Lançamentos!J271="","",Lançamentos!J271)</f>
        <v/>
      </c>
    </row>
    <row r="272" spans="1:10" ht="23.1" customHeight="1">
      <c r="A272" s="1" t="str">
        <f>IF(ISNUMBER(Lançamentos!A272),Lançamentos!A272,"")</f>
        <v/>
      </c>
      <c r="B272" s="1" t="str">
        <f>IF(Lançamentos!B272="","",Lançamentos!B272)</f>
        <v/>
      </c>
      <c r="C272" s="12" t="str">
        <f>IF(ISNUMBER(Lançamentos!C272),Lançamentos!C272,"")</f>
        <v/>
      </c>
      <c r="D272" s="10" t="str">
        <f>IF(A272="","",SUM(Lançamentos!D$9:D272))</f>
        <v/>
      </c>
      <c r="E272" s="1"/>
      <c r="F272" s="11" t="str">
        <f>IF(A272="","",SUM(Lançamentos!F$9:F272))</f>
        <v/>
      </c>
      <c r="G272" s="11" t="str">
        <f>IF(A272="","",SUM(Lançamentos!G$9:G272))</f>
        <v/>
      </c>
      <c r="H272" s="11" t="str">
        <f>IF(A272="","",SUM(Lançamentos!H$9:H272))</f>
        <v/>
      </c>
      <c r="I272" s="12" t="str">
        <f>IF(A272="","",SUM(Lançamentos!C$9:C272))</f>
        <v/>
      </c>
      <c r="J272" s="13" t="str">
        <f>IF(Lançamentos!J272="","",Lançamentos!J272)</f>
        <v/>
      </c>
    </row>
    <row r="273" spans="1:10" ht="23.1" customHeight="1">
      <c r="A273" s="1" t="str">
        <f>IF(ISNUMBER(Lançamentos!A273),Lançamentos!A273,"")</f>
        <v/>
      </c>
      <c r="B273" s="1" t="str">
        <f>IF(Lançamentos!B273="","",Lançamentos!B273)</f>
        <v/>
      </c>
      <c r="C273" s="12" t="str">
        <f>IF(ISNUMBER(Lançamentos!C273),Lançamentos!C273,"")</f>
        <v/>
      </c>
      <c r="D273" s="10" t="str">
        <f>IF(A273="","",SUM(Lançamentos!D$9:D273))</f>
        <v/>
      </c>
      <c r="E273" s="1"/>
      <c r="F273" s="11" t="str">
        <f>IF(A273="","",SUM(Lançamentos!F$9:F273))</f>
        <v/>
      </c>
      <c r="G273" s="11" t="str">
        <f>IF(A273="","",SUM(Lançamentos!G$9:G273))</f>
        <v/>
      </c>
      <c r="H273" s="11" t="str">
        <f>IF(A273="","",SUM(Lançamentos!H$9:H273))</f>
        <v/>
      </c>
      <c r="I273" s="12" t="str">
        <f>IF(A273="","",SUM(Lançamentos!C$9:C273))</f>
        <v/>
      </c>
      <c r="J273" s="13" t="str">
        <f>IF(Lançamentos!J273="","",Lançamentos!J273)</f>
        <v/>
      </c>
    </row>
    <row r="274" spans="1:10" ht="23.1" customHeight="1">
      <c r="A274" s="1" t="str">
        <f>IF(ISNUMBER(Lançamentos!A274),Lançamentos!A274,"")</f>
        <v/>
      </c>
      <c r="B274" s="1" t="str">
        <f>IF(Lançamentos!B274="","",Lançamentos!B274)</f>
        <v/>
      </c>
      <c r="C274" s="12" t="str">
        <f>IF(ISNUMBER(Lançamentos!C274),Lançamentos!C274,"")</f>
        <v/>
      </c>
      <c r="D274" s="10" t="str">
        <f>IF(A274="","",SUM(Lançamentos!D$9:D274))</f>
        <v/>
      </c>
      <c r="E274" s="1"/>
      <c r="F274" s="11" t="str">
        <f>IF(A274="","",SUM(Lançamentos!F$9:F274))</f>
        <v/>
      </c>
      <c r="G274" s="11" t="str">
        <f>IF(A274="","",SUM(Lançamentos!G$9:G274))</f>
        <v/>
      </c>
      <c r="H274" s="11" t="str">
        <f>IF(A274="","",SUM(Lançamentos!H$9:H274))</f>
        <v/>
      </c>
      <c r="I274" s="12" t="str">
        <f>IF(A274="","",SUM(Lançamentos!C$9:C274))</f>
        <v/>
      </c>
      <c r="J274" s="13" t="str">
        <f>IF(Lançamentos!J274="","",Lançamentos!J274)</f>
        <v/>
      </c>
    </row>
    <row r="275" spans="1:10" ht="23.1" customHeight="1">
      <c r="A275" s="1" t="str">
        <f>IF(ISNUMBER(Lançamentos!A275),Lançamentos!A275,"")</f>
        <v/>
      </c>
      <c r="B275" s="1" t="str">
        <f>IF(Lançamentos!B275="","",Lançamentos!B275)</f>
        <v/>
      </c>
      <c r="C275" s="12" t="str">
        <f>IF(ISNUMBER(Lançamentos!C275),Lançamentos!C275,"")</f>
        <v/>
      </c>
      <c r="D275" s="10" t="str">
        <f>IF(A275="","",SUM(Lançamentos!D$9:D275))</f>
        <v/>
      </c>
      <c r="E275" s="1"/>
      <c r="F275" s="11" t="str">
        <f>IF(A275="","",SUM(Lançamentos!F$9:F275))</f>
        <v/>
      </c>
      <c r="G275" s="11" t="str">
        <f>IF(A275="","",SUM(Lançamentos!G$9:G275))</f>
        <v/>
      </c>
      <c r="H275" s="11" t="str">
        <f>IF(A275="","",SUM(Lançamentos!H$9:H275))</f>
        <v/>
      </c>
      <c r="I275" s="12" t="str">
        <f>IF(A275="","",SUM(Lançamentos!C$9:C275))</f>
        <v/>
      </c>
      <c r="J275" s="13" t="str">
        <f>IF(Lançamentos!J275="","",Lançamentos!J275)</f>
        <v/>
      </c>
    </row>
    <row r="276" spans="1:10" ht="23.1" customHeight="1">
      <c r="A276" s="1" t="str">
        <f>IF(ISNUMBER(Lançamentos!A276),Lançamentos!A276,"")</f>
        <v/>
      </c>
      <c r="B276" s="1" t="str">
        <f>IF(Lançamentos!B276="","",Lançamentos!B276)</f>
        <v/>
      </c>
      <c r="C276" s="12" t="str">
        <f>IF(ISNUMBER(Lançamentos!C276),Lançamentos!C276,"")</f>
        <v/>
      </c>
      <c r="D276" s="10" t="str">
        <f>IF(A276="","",SUM(Lançamentos!D$9:D276))</f>
        <v/>
      </c>
      <c r="E276" s="1"/>
      <c r="F276" s="11" t="str">
        <f>IF(A276="","",SUM(Lançamentos!F$9:F276))</f>
        <v/>
      </c>
      <c r="G276" s="11" t="str">
        <f>IF(A276="","",SUM(Lançamentos!G$9:G276))</f>
        <v/>
      </c>
      <c r="H276" s="11" t="str">
        <f>IF(A276="","",SUM(Lançamentos!H$9:H276))</f>
        <v/>
      </c>
      <c r="I276" s="12" t="str">
        <f>IF(A276="","",SUM(Lançamentos!C$9:C276))</f>
        <v/>
      </c>
      <c r="J276" s="13" t="str">
        <f>IF(Lançamentos!J276="","",Lançamentos!J276)</f>
        <v/>
      </c>
    </row>
    <row r="277" spans="1:10" ht="23.1" customHeight="1">
      <c r="A277" s="1" t="str">
        <f>IF(ISNUMBER(Lançamentos!A277),Lançamentos!A277,"")</f>
        <v/>
      </c>
      <c r="B277" s="1" t="str">
        <f>IF(Lançamentos!B277="","",Lançamentos!B277)</f>
        <v/>
      </c>
      <c r="C277" s="12" t="str">
        <f>IF(ISNUMBER(Lançamentos!C277),Lançamentos!C277,"")</f>
        <v/>
      </c>
      <c r="D277" s="10" t="str">
        <f>IF(A277="","",SUM(Lançamentos!D$9:D277))</f>
        <v/>
      </c>
      <c r="E277" s="1"/>
      <c r="F277" s="11" t="str">
        <f>IF(A277="","",SUM(Lançamentos!F$9:F277))</f>
        <v/>
      </c>
      <c r="G277" s="11" t="str">
        <f>IF(A277="","",SUM(Lançamentos!G$9:G277))</f>
        <v/>
      </c>
      <c r="H277" s="11" t="str">
        <f>IF(A277="","",SUM(Lançamentos!H$9:H277))</f>
        <v/>
      </c>
      <c r="I277" s="12" t="str">
        <f>IF(A277="","",SUM(Lançamentos!C$9:C277))</f>
        <v/>
      </c>
      <c r="J277" s="13" t="str">
        <f>IF(Lançamentos!J277="","",Lançamentos!J277)</f>
        <v/>
      </c>
    </row>
    <row r="278" spans="1:10" ht="23.1" customHeight="1">
      <c r="A278" s="1" t="str">
        <f>IF(ISNUMBER(Lançamentos!A278),Lançamentos!A278,"")</f>
        <v/>
      </c>
      <c r="B278" s="1" t="str">
        <f>IF(Lançamentos!B278="","",Lançamentos!B278)</f>
        <v/>
      </c>
      <c r="C278" s="12" t="str">
        <f>IF(ISNUMBER(Lançamentos!C278),Lançamentos!C278,"")</f>
        <v/>
      </c>
      <c r="D278" s="10" t="str">
        <f>IF(A278="","",SUM(Lançamentos!D$9:D278))</f>
        <v/>
      </c>
      <c r="E278" s="1"/>
      <c r="F278" s="11" t="str">
        <f>IF(A278="","",SUM(Lançamentos!F$9:F278))</f>
        <v/>
      </c>
      <c r="G278" s="11" t="str">
        <f>IF(A278="","",SUM(Lançamentos!G$9:G278))</f>
        <v/>
      </c>
      <c r="H278" s="11" t="str">
        <f>IF(A278="","",SUM(Lançamentos!H$9:H278))</f>
        <v/>
      </c>
      <c r="I278" s="12" t="str">
        <f>IF(A278="","",SUM(Lançamentos!C$9:C278))</f>
        <v/>
      </c>
      <c r="J278" s="13" t="str">
        <f>IF(Lançamentos!J278="","",Lançamentos!J278)</f>
        <v/>
      </c>
    </row>
    <row r="279" spans="1:10" ht="23.1" customHeight="1">
      <c r="A279" s="1" t="str">
        <f>IF(ISNUMBER(Lançamentos!A279),Lançamentos!A279,"")</f>
        <v/>
      </c>
      <c r="B279" s="1" t="str">
        <f>IF(Lançamentos!B279="","",Lançamentos!B279)</f>
        <v/>
      </c>
      <c r="C279" s="12" t="str">
        <f>IF(ISNUMBER(Lançamentos!C279),Lançamentos!C279,"")</f>
        <v/>
      </c>
      <c r="D279" s="10" t="str">
        <f>IF(A279="","",SUM(Lançamentos!D$9:D279))</f>
        <v/>
      </c>
      <c r="E279" s="1"/>
      <c r="F279" s="11" t="str">
        <f>IF(A279="","",SUM(Lançamentos!F$9:F279))</f>
        <v/>
      </c>
      <c r="G279" s="11" t="str">
        <f>IF(A279="","",SUM(Lançamentos!G$9:G279))</f>
        <v/>
      </c>
      <c r="H279" s="11" t="str">
        <f>IF(A279="","",SUM(Lançamentos!H$9:H279))</f>
        <v/>
      </c>
      <c r="I279" s="12" t="str">
        <f>IF(A279="","",SUM(Lançamentos!C$9:C279))</f>
        <v/>
      </c>
      <c r="J279" s="13" t="str">
        <f>IF(Lançamentos!J279="","",Lançamentos!J279)</f>
        <v/>
      </c>
    </row>
    <row r="280" spans="1:10" ht="23.1" customHeight="1">
      <c r="A280" s="1" t="str">
        <f>IF(ISNUMBER(Lançamentos!A280),Lançamentos!A280,"")</f>
        <v/>
      </c>
      <c r="B280" s="1" t="str">
        <f>IF(Lançamentos!B280="","",Lançamentos!B280)</f>
        <v/>
      </c>
      <c r="C280" s="12" t="str">
        <f>IF(ISNUMBER(Lançamentos!C280),Lançamentos!C280,"")</f>
        <v/>
      </c>
      <c r="D280" s="10" t="str">
        <f>IF(A280="","",SUM(Lançamentos!D$9:D280))</f>
        <v/>
      </c>
      <c r="E280" s="1"/>
      <c r="F280" s="11" t="str">
        <f>IF(A280="","",SUM(Lançamentos!F$9:F280))</f>
        <v/>
      </c>
      <c r="G280" s="11" t="str">
        <f>IF(A280="","",SUM(Lançamentos!G$9:G280))</f>
        <v/>
      </c>
      <c r="H280" s="11" t="str">
        <f>IF(A280="","",SUM(Lançamentos!H$9:H280))</f>
        <v/>
      </c>
      <c r="I280" s="12" t="str">
        <f>IF(A280="","",SUM(Lançamentos!C$9:C280))</f>
        <v/>
      </c>
      <c r="J280" s="13" t="str">
        <f>IF(Lançamentos!J280="","",Lançamentos!J280)</f>
        <v/>
      </c>
    </row>
    <row r="281" spans="1:10" ht="23.1" customHeight="1">
      <c r="A281" s="1" t="str">
        <f>IF(ISNUMBER(Lançamentos!A281),Lançamentos!A281,"")</f>
        <v/>
      </c>
      <c r="B281" s="1" t="str">
        <f>IF(Lançamentos!B281="","",Lançamentos!B281)</f>
        <v/>
      </c>
      <c r="C281" s="12" t="str">
        <f>IF(ISNUMBER(Lançamentos!C281),Lançamentos!C281,"")</f>
        <v/>
      </c>
      <c r="D281" s="10" t="str">
        <f>IF(A281="","",SUM(Lançamentos!D$9:D281))</f>
        <v/>
      </c>
      <c r="E281" s="1"/>
      <c r="F281" s="11" t="str">
        <f>IF(A281="","",SUM(Lançamentos!F$9:F281))</f>
        <v/>
      </c>
      <c r="G281" s="11" t="str">
        <f>IF(A281="","",SUM(Lançamentos!G$9:G281))</f>
        <v/>
      </c>
      <c r="H281" s="11" t="str">
        <f>IF(A281="","",SUM(Lançamentos!H$9:H281))</f>
        <v/>
      </c>
      <c r="I281" s="12" t="str">
        <f>IF(A281="","",SUM(Lançamentos!C$9:C281))</f>
        <v/>
      </c>
      <c r="J281" s="13" t="str">
        <f>IF(Lançamentos!J281="","",Lançamentos!J281)</f>
        <v/>
      </c>
    </row>
    <row r="282" spans="1:10" ht="23.1" customHeight="1">
      <c r="A282" s="1" t="str">
        <f>IF(ISNUMBER(Lançamentos!A282),Lançamentos!A282,"")</f>
        <v/>
      </c>
      <c r="B282" s="1" t="str">
        <f>IF(Lançamentos!B282="","",Lançamentos!B282)</f>
        <v/>
      </c>
      <c r="C282" s="12" t="str">
        <f>IF(ISNUMBER(Lançamentos!C282),Lançamentos!C282,"")</f>
        <v/>
      </c>
      <c r="D282" s="10" t="str">
        <f>IF(A282="","",SUM(Lançamentos!D$9:D282))</f>
        <v/>
      </c>
      <c r="E282" s="1"/>
      <c r="F282" s="11" t="str">
        <f>IF(A282="","",SUM(Lançamentos!F$9:F282))</f>
        <v/>
      </c>
      <c r="G282" s="11" t="str">
        <f>IF(A282="","",SUM(Lançamentos!G$9:G282))</f>
        <v/>
      </c>
      <c r="H282" s="11" t="str">
        <f>IF(A282="","",SUM(Lançamentos!H$9:H282))</f>
        <v/>
      </c>
      <c r="I282" s="12" t="str">
        <f>IF(A282="","",SUM(Lançamentos!C$9:C282))</f>
        <v/>
      </c>
      <c r="J282" s="13" t="str">
        <f>IF(Lançamentos!J282="","",Lançamentos!J282)</f>
        <v/>
      </c>
    </row>
    <row r="283" spans="1:10" ht="23.1" customHeight="1">
      <c r="A283" s="1" t="str">
        <f>IF(ISNUMBER(Lançamentos!A283),Lançamentos!A283,"")</f>
        <v/>
      </c>
      <c r="B283" s="1" t="str">
        <f>IF(Lançamentos!B283="","",Lançamentos!B283)</f>
        <v/>
      </c>
      <c r="C283" s="12" t="str">
        <f>IF(ISNUMBER(Lançamentos!C283),Lançamentos!C283,"")</f>
        <v/>
      </c>
      <c r="D283" s="10" t="str">
        <f>IF(A283="","",SUM(Lançamentos!D$9:D283))</f>
        <v/>
      </c>
      <c r="E283" s="1"/>
      <c r="F283" s="11" t="str">
        <f>IF(A283="","",SUM(Lançamentos!F$9:F283))</f>
        <v/>
      </c>
      <c r="G283" s="11" t="str">
        <f>IF(A283="","",SUM(Lançamentos!G$9:G283))</f>
        <v/>
      </c>
      <c r="H283" s="11" t="str">
        <f>IF(A283="","",SUM(Lançamentos!H$9:H283))</f>
        <v/>
      </c>
      <c r="I283" s="12" t="str">
        <f>IF(A283="","",SUM(Lançamentos!C$9:C283))</f>
        <v/>
      </c>
      <c r="J283" s="13" t="str">
        <f>IF(Lançamentos!J283="","",Lançamentos!J283)</f>
        <v/>
      </c>
    </row>
    <row r="284" spans="1:10" ht="23.1" customHeight="1">
      <c r="A284" s="1" t="str">
        <f>IF(ISNUMBER(Lançamentos!A284),Lançamentos!A284,"")</f>
        <v/>
      </c>
      <c r="B284" s="1" t="str">
        <f>IF(Lançamentos!B284="","",Lançamentos!B284)</f>
        <v/>
      </c>
      <c r="C284" s="12" t="str">
        <f>IF(ISNUMBER(Lançamentos!C284),Lançamentos!C284,"")</f>
        <v/>
      </c>
      <c r="D284" s="10" t="str">
        <f>IF(A284="","",SUM(Lançamentos!D$9:D284))</f>
        <v/>
      </c>
      <c r="E284" s="1"/>
      <c r="F284" s="11" t="str">
        <f>IF(A284="","",SUM(Lançamentos!F$9:F284))</f>
        <v/>
      </c>
      <c r="G284" s="11" t="str">
        <f>IF(A284="","",SUM(Lançamentos!G$9:G284))</f>
        <v/>
      </c>
      <c r="H284" s="11" t="str">
        <f>IF(A284="","",SUM(Lançamentos!H$9:H284))</f>
        <v/>
      </c>
      <c r="I284" s="12" t="str">
        <f>IF(A284="","",SUM(Lançamentos!C$9:C284))</f>
        <v/>
      </c>
      <c r="J284" s="13" t="str">
        <f>IF(Lançamentos!J284="","",Lançamentos!J284)</f>
        <v/>
      </c>
    </row>
    <row r="285" spans="1:10" ht="23.1" customHeight="1">
      <c r="A285" s="1" t="str">
        <f>IF(ISNUMBER(Lançamentos!A285),Lançamentos!A285,"")</f>
        <v/>
      </c>
      <c r="B285" s="1" t="str">
        <f>IF(Lançamentos!B285="","",Lançamentos!B285)</f>
        <v/>
      </c>
      <c r="C285" s="12" t="str">
        <f>IF(ISNUMBER(Lançamentos!C285),Lançamentos!C285,"")</f>
        <v/>
      </c>
      <c r="D285" s="10" t="str">
        <f>IF(A285="","",SUM(Lançamentos!D$9:D285))</f>
        <v/>
      </c>
      <c r="E285" s="1"/>
      <c r="F285" s="11" t="str">
        <f>IF(A285="","",SUM(Lançamentos!F$9:F285))</f>
        <v/>
      </c>
      <c r="G285" s="11" t="str">
        <f>IF(A285="","",SUM(Lançamentos!G$9:G285))</f>
        <v/>
      </c>
      <c r="H285" s="11" t="str">
        <f>IF(A285="","",SUM(Lançamentos!H$9:H285))</f>
        <v/>
      </c>
      <c r="I285" s="12" t="str">
        <f>IF(A285="","",SUM(Lançamentos!C$9:C285))</f>
        <v/>
      </c>
      <c r="J285" s="13" t="str">
        <f>IF(Lançamentos!J285="","",Lançamentos!J285)</f>
        <v/>
      </c>
    </row>
    <row r="286" spans="1:10" ht="23.1" customHeight="1">
      <c r="A286" s="1" t="str">
        <f>IF(ISNUMBER(Lançamentos!A286),Lançamentos!A286,"")</f>
        <v/>
      </c>
      <c r="B286" s="1" t="str">
        <f>IF(Lançamentos!B286="","",Lançamentos!B286)</f>
        <v/>
      </c>
      <c r="C286" s="12" t="str">
        <f>IF(ISNUMBER(Lançamentos!C286),Lançamentos!C286,"")</f>
        <v/>
      </c>
      <c r="D286" s="10" t="str">
        <f>IF(A286="","",SUM(Lançamentos!D$9:D286))</f>
        <v/>
      </c>
      <c r="E286" s="1"/>
      <c r="F286" s="11" t="str">
        <f>IF(A286="","",SUM(Lançamentos!F$9:F286))</f>
        <v/>
      </c>
      <c r="G286" s="11" t="str">
        <f>IF(A286="","",SUM(Lançamentos!G$9:G286))</f>
        <v/>
      </c>
      <c r="H286" s="11" t="str">
        <f>IF(A286="","",SUM(Lançamentos!H$9:H286))</f>
        <v/>
      </c>
      <c r="I286" s="12" t="str">
        <f>IF(A286="","",SUM(Lançamentos!C$9:C286))</f>
        <v/>
      </c>
      <c r="J286" s="13" t="str">
        <f>IF(Lançamentos!J286="","",Lançamentos!J286)</f>
        <v/>
      </c>
    </row>
    <row r="287" spans="1:10" ht="23.1" customHeight="1">
      <c r="A287" s="1" t="str">
        <f>IF(ISNUMBER(Lançamentos!A287),Lançamentos!A287,"")</f>
        <v/>
      </c>
      <c r="B287" s="1" t="str">
        <f>IF(Lançamentos!B287="","",Lançamentos!B287)</f>
        <v/>
      </c>
      <c r="C287" s="12" t="str">
        <f>IF(ISNUMBER(Lançamentos!C287),Lançamentos!C287,"")</f>
        <v/>
      </c>
      <c r="D287" s="10" t="str">
        <f>IF(A287="","",SUM(Lançamentos!D$9:D287))</f>
        <v/>
      </c>
      <c r="E287" s="1"/>
      <c r="F287" s="11" t="str">
        <f>IF(A287="","",SUM(Lançamentos!F$9:F287))</f>
        <v/>
      </c>
      <c r="G287" s="11" t="str">
        <f>IF(A287="","",SUM(Lançamentos!G$9:G287))</f>
        <v/>
      </c>
      <c r="H287" s="11" t="str">
        <f>IF(A287="","",SUM(Lançamentos!H$9:H287))</f>
        <v/>
      </c>
      <c r="I287" s="12" t="str">
        <f>IF(A287="","",SUM(Lançamentos!C$9:C287))</f>
        <v/>
      </c>
      <c r="J287" s="13" t="str">
        <f>IF(Lançamentos!J287="","",Lançamentos!J287)</f>
        <v/>
      </c>
    </row>
    <row r="288" spans="1:10" ht="23.1" customHeight="1">
      <c r="A288" s="1" t="str">
        <f>IF(ISNUMBER(Lançamentos!A288),Lançamentos!A288,"")</f>
        <v/>
      </c>
      <c r="B288" s="1" t="str">
        <f>IF(Lançamentos!B288="","",Lançamentos!B288)</f>
        <v/>
      </c>
      <c r="C288" s="12" t="str">
        <f>IF(ISNUMBER(Lançamentos!C288),Lançamentos!C288,"")</f>
        <v/>
      </c>
      <c r="D288" s="10" t="str">
        <f>IF(A288="","",SUM(Lançamentos!D$9:D288))</f>
        <v/>
      </c>
      <c r="E288" s="1"/>
      <c r="F288" s="11" t="str">
        <f>IF(A288="","",SUM(Lançamentos!F$9:F288))</f>
        <v/>
      </c>
      <c r="G288" s="11" t="str">
        <f>IF(A288="","",SUM(Lançamentos!G$9:G288))</f>
        <v/>
      </c>
      <c r="H288" s="11" t="str">
        <f>IF(A288="","",SUM(Lançamentos!H$9:H288))</f>
        <v/>
      </c>
      <c r="I288" s="12" t="str">
        <f>IF(A288="","",SUM(Lançamentos!C$9:C288))</f>
        <v/>
      </c>
      <c r="J288" s="13" t="str">
        <f>IF(Lançamentos!J288="","",Lançamentos!J288)</f>
        <v/>
      </c>
    </row>
    <row r="289" spans="1:10" ht="23.1" customHeight="1">
      <c r="A289" s="1" t="str">
        <f>IF(ISNUMBER(Lançamentos!A289),Lançamentos!A289,"")</f>
        <v/>
      </c>
      <c r="B289" s="1" t="str">
        <f>IF(Lançamentos!B289="","",Lançamentos!B289)</f>
        <v/>
      </c>
      <c r="C289" s="12" t="str">
        <f>IF(ISNUMBER(Lançamentos!C289),Lançamentos!C289,"")</f>
        <v/>
      </c>
      <c r="D289" s="10" t="str">
        <f>IF(A289="","",SUM(Lançamentos!D$9:D289))</f>
        <v/>
      </c>
      <c r="E289" s="1"/>
      <c r="F289" s="11" t="str">
        <f>IF(A289="","",SUM(Lançamentos!F$9:F289))</f>
        <v/>
      </c>
      <c r="G289" s="11" t="str">
        <f>IF(A289="","",SUM(Lançamentos!G$9:G289))</f>
        <v/>
      </c>
      <c r="H289" s="11" t="str">
        <f>IF(A289="","",SUM(Lançamentos!H$9:H289))</f>
        <v/>
      </c>
      <c r="I289" s="12" t="str">
        <f>IF(A289="","",SUM(Lançamentos!C$9:C289))</f>
        <v/>
      </c>
      <c r="J289" s="13" t="str">
        <f>IF(Lançamentos!J289="","",Lançamentos!J289)</f>
        <v/>
      </c>
    </row>
    <row r="290" spans="1:10" ht="23.1" customHeight="1">
      <c r="A290" s="1" t="str">
        <f>IF(ISNUMBER(Lançamentos!A290),Lançamentos!A290,"")</f>
        <v/>
      </c>
      <c r="B290" s="1" t="str">
        <f>IF(Lançamentos!B290="","",Lançamentos!B290)</f>
        <v/>
      </c>
      <c r="C290" s="12" t="str">
        <f>IF(ISNUMBER(Lançamentos!C290),Lançamentos!C290,"")</f>
        <v/>
      </c>
      <c r="D290" s="10" t="str">
        <f>IF(A290="","",SUM(Lançamentos!D$9:D290))</f>
        <v/>
      </c>
      <c r="E290" s="1"/>
      <c r="F290" s="11" t="str">
        <f>IF(A290="","",SUM(Lançamentos!F$9:F290))</f>
        <v/>
      </c>
      <c r="G290" s="11" t="str">
        <f>IF(A290="","",SUM(Lançamentos!G$9:G290))</f>
        <v/>
      </c>
      <c r="H290" s="11" t="str">
        <f>IF(A290="","",SUM(Lançamentos!H$9:H290))</f>
        <v/>
      </c>
      <c r="I290" s="12" t="str">
        <f>IF(A290="","",SUM(Lançamentos!C$9:C290))</f>
        <v/>
      </c>
      <c r="J290" s="13" t="str">
        <f>IF(Lançamentos!J290="","",Lançamentos!J290)</f>
        <v/>
      </c>
    </row>
    <row r="291" spans="1:10" ht="23.1" customHeight="1">
      <c r="A291" s="1" t="str">
        <f>IF(ISNUMBER(Lançamentos!A291),Lançamentos!A291,"")</f>
        <v/>
      </c>
      <c r="B291" s="1" t="str">
        <f>IF(Lançamentos!B291="","",Lançamentos!B291)</f>
        <v/>
      </c>
      <c r="C291" s="12" t="str">
        <f>IF(ISNUMBER(Lançamentos!C291),Lançamentos!C291,"")</f>
        <v/>
      </c>
      <c r="D291" s="10" t="str">
        <f>IF(A291="","",SUM(Lançamentos!D$9:D291))</f>
        <v/>
      </c>
      <c r="E291" s="1"/>
      <c r="F291" s="11" t="str">
        <f>IF(A291="","",SUM(Lançamentos!F$9:F291))</f>
        <v/>
      </c>
      <c r="G291" s="11" t="str">
        <f>IF(A291="","",SUM(Lançamentos!G$9:G291))</f>
        <v/>
      </c>
      <c r="H291" s="11" t="str">
        <f>IF(A291="","",SUM(Lançamentos!H$9:H291))</f>
        <v/>
      </c>
      <c r="I291" s="12" t="str">
        <f>IF(A291="","",SUM(Lançamentos!C$9:C291))</f>
        <v/>
      </c>
      <c r="J291" s="13" t="str">
        <f>IF(Lançamentos!J291="","",Lançamentos!J291)</f>
        <v/>
      </c>
    </row>
    <row r="292" spans="1:10" ht="23.1" customHeight="1">
      <c r="A292" s="1" t="str">
        <f>IF(ISNUMBER(Lançamentos!A292),Lançamentos!A292,"")</f>
        <v/>
      </c>
      <c r="B292" s="1" t="str">
        <f>IF(Lançamentos!B292="","",Lançamentos!B292)</f>
        <v/>
      </c>
      <c r="C292" s="12" t="str">
        <f>IF(ISNUMBER(Lançamentos!C292),Lançamentos!C292,"")</f>
        <v/>
      </c>
      <c r="D292" s="10" t="str">
        <f>IF(A292="","",SUM(Lançamentos!D$9:D292))</f>
        <v/>
      </c>
      <c r="E292" s="1"/>
      <c r="F292" s="11" t="str">
        <f>IF(A292="","",SUM(Lançamentos!F$9:F292))</f>
        <v/>
      </c>
      <c r="G292" s="11" t="str">
        <f>IF(A292="","",SUM(Lançamentos!G$9:G292))</f>
        <v/>
      </c>
      <c r="H292" s="11" t="str">
        <f>IF(A292="","",SUM(Lançamentos!H$9:H292))</f>
        <v/>
      </c>
      <c r="I292" s="12" t="str">
        <f>IF(A292="","",SUM(Lançamentos!C$9:C292))</f>
        <v/>
      </c>
      <c r="J292" s="13" t="str">
        <f>IF(Lançamentos!J292="","",Lançamentos!J292)</f>
        <v/>
      </c>
    </row>
    <row r="293" spans="1:10" ht="23.1" customHeight="1">
      <c r="A293" s="1" t="str">
        <f>IF(ISNUMBER(Lançamentos!A293),Lançamentos!A293,"")</f>
        <v/>
      </c>
      <c r="B293" s="1" t="str">
        <f>IF(Lançamentos!B293="","",Lançamentos!B293)</f>
        <v/>
      </c>
      <c r="C293" s="12" t="str">
        <f>IF(ISNUMBER(Lançamentos!C293),Lançamentos!C293,"")</f>
        <v/>
      </c>
      <c r="D293" s="10" t="str">
        <f>IF(A293="","",SUM(Lançamentos!D$9:D293))</f>
        <v/>
      </c>
      <c r="E293" s="1"/>
      <c r="F293" s="11" t="str">
        <f>IF(A293="","",SUM(Lançamentos!F$9:F293))</f>
        <v/>
      </c>
      <c r="G293" s="11" t="str">
        <f>IF(A293="","",SUM(Lançamentos!G$9:G293))</f>
        <v/>
      </c>
      <c r="H293" s="11" t="str">
        <f>IF(A293="","",SUM(Lançamentos!H$9:H293))</f>
        <v/>
      </c>
      <c r="I293" s="12" t="str">
        <f>IF(A293="","",SUM(Lançamentos!C$9:C293))</f>
        <v/>
      </c>
      <c r="J293" s="13" t="str">
        <f>IF(Lançamentos!J293="","",Lançamentos!J293)</f>
        <v/>
      </c>
    </row>
    <row r="294" spans="1:10" ht="23.1" customHeight="1">
      <c r="A294" s="1" t="str">
        <f>IF(ISNUMBER(Lançamentos!A294),Lançamentos!A294,"")</f>
        <v/>
      </c>
      <c r="B294" s="1" t="str">
        <f>IF(Lançamentos!B294="","",Lançamentos!B294)</f>
        <v/>
      </c>
      <c r="C294" s="12" t="str">
        <f>IF(ISNUMBER(Lançamentos!C294),Lançamentos!C294,"")</f>
        <v/>
      </c>
      <c r="D294" s="10" t="str">
        <f>IF(A294="","",SUM(Lançamentos!D$9:D294))</f>
        <v/>
      </c>
      <c r="E294" s="1"/>
      <c r="F294" s="11" t="str">
        <f>IF(A294="","",SUM(Lançamentos!F$9:F294))</f>
        <v/>
      </c>
      <c r="G294" s="11" t="str">
        <f>IF(A294="","",SUM(Lançamentos!G$9:G294))</f>
        <v/>
      </c>
      <c r="H294" s="11" t="str">
        <f>IF(A294="","",SUM(Lançamentos!H$9:H294))</f>
        <v/>
      </c>
      <c r="I294" s="12" t="str">
        <f>IF(A294="","",SUM(Lançamentos!C$9:C294))</f>
        <v/>
      </c>
      <c r="J294" s="13" t="str">
        <f>IF(Lançamentos!J294="","",Lançamentos!J294)</f>
        <v/>
      </c>
    </row>
    <row r="295" spans="1:10" ht="23.1" customHeight="1">
      <c r="A295" s="1" t="str">
        <f>IF(ISNUMBER(Lançamentos!A295),Lançamentos!A295,"")</f>
        <v/>
      </c>
      <c r="B295" s="1" t="str">
        <f>IF(Lançamentos!B295="","",Lançamentos!B295)</f>
        <v/>
      </c>
      <c r="C295" s="12" t="str">
        <f>IF(ISNUMBER(Lançamentos!C295),Lançamentos!C295,"")</f>
        <v/>
      </c>
      <c r="D295" s="10" t="str">
        <f>IF(A295="","",SUM(Lançamentos!D$9:D295))</f>
        <v/>
      </c>
      <c r="E295" s="1"/>
      <c r="F295" s="11" t="str">
        <f>IF(A295="","",SUM(Lançamentos!F$9:F295))</f>
        <v/>
      </c>
      <c r="G295" s="11" t="str">
        <f>IF(A295="","",SUM(Lançamentos!G$9:G295))</f>
        <v/>
      </c>
      <c r="H295" s="11" t="str">
        <f>IF(A295="","",SUM(Lançamentos!H$9:H295))</f>
        <v/>
      </c>
      <c r="I295" s="12" t="str">
        <f>IF(A295="","",SUM(Lançamentos!C$9:C295))</f>
        <v/>
      </c>
      <c r="J295" s="13" t="str">
        <f>IF(Lançamentos!J295="","",Lançamentos!J295)</f>
        <v/>
      </c>
    </row>
    <row r="296" spans="1:10" ht="23.1" customHeight="1">
      <c r="A296" s="1" t="str">
        <f>IF(ISNUMBER(Lançamentos!A296),Lançamentos!A296,"")</f>
        <v/>
      </c>
      <c r="B296" s="1" t="str">
        <f>IF(Lançamentos!B296="","",Lançamentos!B296)</f>
        <v/>
      </c>
      <c r="C296" s="12" t="str">
        <f>IF(ISNUMBER(Lançamentos!C296),Lançamentos!C296,"")</f>
        <v/>
      </c>
      <c r="D296" s="10" t="str">
        <f>IF(A296="","",SUM(Lançamentos!D$9:D296))</f>
        <v/>
      </c>
      <c r="E296" s="1"/>
      <c r="F296" s="11" t="str">
        <f>IF(A296="","",SUM(Lançamentos!F$9:F296))</f>
        <v/>
      </c>
      <c r="G296" s="11" t="str">
        <f>IF(A296="","",SUM(Lançamentos!G$9:G296))</f>
        <v/>
      </c>
      <c r="H296" s="11" t="str">
        <f>IF(A296="","",SUM(Lançamentos!H$9:H296))</f>
        <v/>
      </c>
      <c r="I296" s="12" t="str">
        <f>IF(A296="","",SUM(Lançamentos!C$9:C296))</f>
        <v/>
      </c>
      <c r="J296" s="13" t="str">
        <f>IF(Lançamentos!J296="","",Lançamentos!J296)</f>
        <v/>
      </c>
    </row>
    <row r="297" spans="1:10" ht="23.1" customHeight="1">
      <c r="A297" s="1" t="str">
        <f>IF(ISNUMBER(Lançamentos!A297),Lançamentos!A297,"")</f>
        <v/>
      </c>
      <c r="B297" s="1" t="str">
        <f>IF(Lançamentos!B297="","",Lançamentos!B297)</f>
        <v/>
      </c>
      <c r="C297" s="12" t="str">
        <f>IF(ISNUMBER(Lançamentos!C297),Lançamentos!C297,"")</f>
        <v/>
      </c>
      <c r="D297" s="10" t="str">
        <f>IF(A297="","",SUM(Lançamentos!D$9:D297))</f>
        <v/>
      </c>
      <c r="E297" s="1"/>
      <c r="F297" s="11" t="str">
        <f>IF(A297="","",SUM(Lançamentos!F$9:F297))</f>
        <v/>
      </c>
      <c r="G297" s="11" t="str">
        <f>IF(A297="","",SUM(Lançamentos!G$9:G297))</f>
        <v/>
      </c>
      <c r="H297" s="11" t="str">
        <f>IF(A297="","",SUM(Lançamentos!H$9:H297))</f>
        <v/>
      </c>
      <c r="I297" s="12" t="str">
        <f>IF(A297="","",SUM(Lançamentos!C$9:C297))</f>
        <v/>
      </c>
      <c r="J297" s="13" t="str">
        <f>IF(Lançamentos!J297="","",Lançamentos!J297)</f>
        <v/>
      </c>
    </row>
    <row r="298" spans="1:10" ht="23.1" customHeight="1">
      <c r="A298" s="1" t="str">
        <f>IF(ISNUMBER(Lançamentos!A298),Lançamentos!A298,"")</f>
        <v/>
      </c>
      <c r="B298" s="1" t="str">
        <f>IF(Lançamentos!B298="","",Lançamentos!B298)</f>
        <v/>
      </c>
      <c r="C298" s="12" t="str">
        <f>IF(ISNUMBER(Lançamentos!C298),Lançamentos!C298,"")</f>
        <v/>
      </c>
      <c r="D298" s="10" t="str">
        <f>IF(A298="","",SUM(Lançamentos!D$9:D298))</f>
        <v/>
      </c>
      <c r="E298" s="1"/>
      <c r="F298" s="11" t="str">
        <f>IF(A298="","",SUM(Lançamentos!F$9:F298))</f>
        <v/>
      </c>
      <c r="G298" s="11" t="str">
        <f>IF(A298="","",SUM(Lançamentos!G$9:G298))</f>
        <v/>
      </c>
      <c r="H298" s="11" t="str">
        <f>IF(A298="","",SUM(Lançamentos!H$9:H298))</f>
        <v/>
      </c>
      <c r="I298" s="12" t="str">
        <f>IF(A298="","",SUM(Lançamentos!C$9:C298))</f>
        <v/>
      </c>
      <c r="J298" s="13" t="str">
        <f>IF(Lançamentos!J298="","",Lançamentos!J298)</f>
        <v/>
      </c>
    </row>
    <row r="299" spans="1:10" ht="23.1" customHeight="1">
      <c r="A299" s="1" t="str">
        <f>IF(ISNUMBER(Lançamentos!A299),Lançamentos!A299,"")</f>
        <v/>
      </c>
      <c r="B299" s="1" t="str">
        <f>IF(Lançamentos!B299="","",Lançamentos!B299)</f>
        <v/>
      </c>
      <c r="C299" s="12" t="str">
        <f>IF(ISNUMBER(Lançamentos!C299),Lançamentos!C299,"")</f>
        <v/>
      </c>
      <c r="D299" s="10" t="str">
        <f>IF(A299="","",SUM(Lançamentos!D$9:D299))</f>
        <v/>
      </c>
      <c r="E299" s="1"/>
      <c r="F299" s="11" t="str">
        <f>IF(A299="","",SUM(Lançamentos!F$9:F299))</f>
        <v/>
      </c>
      <c r="G299" s="11" t="str">
        <f>IF(A299="","",SUM(Lançamentos!G$9:G299))</f>
        <v/>
      </c>
      <c r="H299" s="11" t="str">
        <f>IF(A299="","",SUM(Lançamentos!H$9:H299))</f>
        <v/>
      </c>
      <c r="I299" s="12" t="str">
        <f>IF(A299="","",SUM(Lançamentos!C$9:C299))</f>
        <v/>
      </c>
      <c r="J299" s="13" t="str">
        <f>IF(Lançamentos!J299="","",Lançamentos!J299)</f>
        <v/>
      </c>
    </row>
    <row r="300" spans="1:10" ht="23.1" customHeight="1">
      <c r="A300" s="1" t="str">
        <f>IF(ISNUMBER(Lançamentos!A300),Lançamentos!A300,"")</f>
        <v/>
      </c>
      <c r="B300" s="1" t="str">
        <f>IF(Lançamentos!B300="","",Lançamentos!B300)</f>
        <v/>
      </c>
      <c r="C300" s="12" t="str">
        <f>IF(ISNUMBER(Lançamentos!C300),Lançamentos!C300,"")</f>
        <v/>
      </c>
      <c r="D300" s="10" t="str">
        <f>IF(A300="","",SUM(Lançamentos!D$9:D300))</f>
        <v/>
      </c>
      <c r="E300" s="1"/>
      <c r="F300" s="11" t="str">
        <f>IF(A300="","",SUM(Lançamentos!F$9:F300))</f>
        <v/>
      </c>
      <c r="G300" s="11" t="str">
        <f>IF(A300="","",SUM(Lançamentos!G$9:G300))</f>
        <v/>
      </c>
      <c r="H300" s="11" t="str">
        <f>IF(A300="","",SUM(Lançamentos!H$9:H300))</f>
        <v/>
      </c>
      <c r="I300" s="12" t="str">
        <f>IF(A300="","",SUM(Lançamentos!C$9:C300))</f>
        <v/>
      </c>
      <c r="J300" s="13" t="str">
        <f>IF(Lançamentos!J300="","",Lançamentos!J300)</f>
        <v/>
      </c>
    </row>
    <row r="301" spans="1:10" ht="23.1" customHeight="1">
      <c r="A301" s="1" t="str">
        <f>IF(ISNUMBER(Lançamentos!A301),Lançamentos!A301,"")</f>
        <v/>
      </c>
      <c r="B301" s="1" t="str">
        <f>IF(Lançamentos!B301="","",Lançamentos!B301)</f>
        <v/>
      </c>
      <c r="C301" s="12" t="str">
        <f>IF(ISNUMBER(Lançamentos!C301),Lançamentos!C301,"")</f>
        <v/>
      </c>
      <c r="D301" s="10" t="str">
        <f>IF(A301="","",SUM(Lançamentos!D$9:D301))</f>
        <v/>
      </c>
      <c r="E301" s="1"/>
      <c r="F301" s="11" t="str">
        <f>IF(A301="","",SUM(Lançamentos!F$9:F301))</f>
        <v/>
      </c>
      <c r="G301" s="11" t="str">
        <f>IF(A301="","",SUM(Lançamentos!G$9:G301))</f>
        <v/>
      </c>
      <c r="H301" s="11" t="str">
        <f>IF(A301="","",SUM(Lançamentos!H$9:H301))</f>
        <v/>
      </c>
      <c r="I301" s="12" t="str">
        <f>IF(A301="","",SUM(Lançamentos!C$9:C301))</f>
        <v/>
      </c>
      <c r="J301" s="13" t="str">
        <f>IF(Lançamentos!J301="","",Lançamentos!J301)</f>
        <v/>
      </c>
    </row>
    <row r="302" spans="1:10" ht="23.1" customHeight="1">
      <c r="A302" s="1" t="str">
        <f>IF(ISNUMBER(Lançamentos!A302),Lançamentos!A302,"")</f>
        <v/>
      </c>
      <c r="B302" s="1" t="str">
        <f>IF(Lançamentos!B302="","",Lançamentos!B302)</f>
        <v/>
      </c>
      <c r="C302" s="12" t="str">
        <f>IF(ISNUMBER(Lançamentos!C302),Lançamentos!C302,"")</f>
        <v/>
      </c>
      <c r="D302" s="10" t="str">
        <f>IF(A302="","",SUM(Lançamentos!D$9:D302))</f>
        <v/>
      </c>
      <c r="E302" s="1"/>
      <c r="F302" s="11" t="str">
        <f>IF(A302="","",SUM(Lançamentos!F$9:F302))</f>
        <v/>
      </c>
      <c r="G302" s="11" t="str">
        <f>IF(A302="","",SUM(Lançamentos!G$9:G302))</f>
        <v/>
      </c>
      <c r="H302" s="11" t="str">
        <f>IF(A302="","",SUM(Lançamentos!H$9:H302))</f>
        <v/>
      </c>
      <c r="I302" s="12" t="str">
        <f>IF(A302="","",SUM(Lançamentos!C$9:C302))</f>
        <v/>
      </c>
      <c r="J302" s="13" t="str">
        <f>IF(Lançamentos!J302="","",Lançamentos!J302)</f>
        <v/>
      </c>
    </row>
    <row r="303" spans="1:10" ht="23.1" customHeight="1">
      <c r="A303" s="1" t="str">
        <f>IF(ISNUMBER(Lançamentos!A303),Lançamentos!A303,"")</f>
        <v/>
      </c>
      <c r="B303" s="1" t="str">
        <f>IF(Lançamentos!B303="","",Lançamentos!B303)</f>
        <v/>
      </c>
      <c r="C303" s="12" t="str">
        <f>IF(ISNUMBER(Lançamentos!C303),Lançamentos!C303,"")</f>
        <v/>
      </c>
      <c r="D303" s="10" t="str">
        <f>IF(A303="","",SUM(Lançamentos!D$9:D303))</f>
        <v/>
      </c>
      <c r="E303" s="1"/>
      <c r="F303" s="11" t="str">
        <f>IF(A303="","",SUM(Lançamentos!F$9:F303))</f>
        <v/>
      </c>
      <c r="G303" s="11" t="str">
        <f>IF(A303="","",SUM(Lançamentos!G$9:G303))</f>
        <v/>
      </c>
      <c r="H303" s="11" t="str">
        <f>IF(A303="","",SUM(Lançamentos!H$9:H303))</f>
        <v/>
      </c>
      <c r="I303" s="12" t="str">
        <f>IF(A303="","",SUM(Lançamentos!C$9:C303))</f>
        <v/>
      </c>
      <c r="J303" s="13" t="str">
        <f>IF(Lançamentos!J303="","",Lançamentos!J303)</f>
        <v/>
      </c>
    </row>
    <row r="304" spans="1:10" ht="23.1" customHeight="1">
      <c r="A304" s="1" t="str">
        <f>IF(ISNUMBER(Lançamentos!A304),Lançamentos!A304,"")</f>
        <v/>
      </c>
      <c r="B304" s="1" t="str">
        <f>IF(Lançamentos!B304="","",Lançamentos!B304)</f>
        <v/>
      </c>
      <c r="C304" s="12" t="str">
        <f>IF(ISNUMBER(Lançamentos!C304),Lançamentos!C304,"")</f>
        <v/>
      </c>
      <c r="D304" s="10" t="str">
        <f>IF(A304="","",SUM(Lançamentos!D$9:D304))</f>
        <v/>
      </c>
      <c r="E304" s="1"/>
      <c r="F304" s="11" t="str">
        <f>IF(A304="","",SUM(Lançamentos!F$9:F304))</f>
        <v/>
      </c>
      <c r="G304" s="11" t="str">
        <f>IF(A304="","",SUM(Lançamentos!G$9:G304))</f>
        <v/>
      </c>
      <c r="H304" s="11" t="str">
        <f>IF(A304="","",SUM(Lançamentos!H$9:H304))</f>
        <v/>
      </c>
      <c r="I304" s="12" t="str">
        <f>IF(A304="","",SUM(Lançamentos!C$9:C304))</f>
        <v/>
      </c>
      <c r="J304" s="13" t="str">
        <f>IF(Lançamentos!J304="","",Lançamentos!J304)</f>
        <v/>
      </c>
    </row>
    <row r="305" spans="1:10" ht="23.1" customHeight="1">
      <c r="A305" s="1" t="str">
        <f>IF(ISNUMBER(Lançamentos!A305),Lançamentos!A305,"")</f>
        <v/>
      </c>
      <c r="B305" s="1" t="str">
        <f>IF(Lançamentos!B305="","",Lançamentos!B305)</f>
        <v/>
      </c>
      <c r="C305" s="12" t="str">
        <f>IF(ISNUMBER(Lançamentos!C305),Lançamentos!C305,"")</f>
        <v/>
      </c>
      <c r="D305" s="10" t="str">
        <f>IF(A305="","",SUM(Lançamentos!D$9:D305))</f>
        <v/>
      </c>
      <c r="E305" s="1"/>
      <c r="F305" s="11" t="str">
        <f>IF(A305="","",SUM(Lançamentos!F$9:F305))</f>
        <v/>
      </c>
      <c r="G305" s="11" t="str">
        <f>IF(A305="","",SUM(Lançamentos!G$9:G305))</f>
        <v/>
      </c>
      <c r="H305" s="11" t="str">
        <f>IF(A305="","",SUM(Lançamentos!H$9:H305))</f>
        <v/>
      </c>
      <c r="I305" s="12" t="str">
        <f>IF(A305="","",SUM(Lançamentos!C$9:C305))</f>
        <v/>
      </c>
      <c r="J305" s="13" t="str">
        <f>IF(Lançamentos!J305="","",Lançamentos!J305)</f>
        <v/>
      </c>
    </row>
    <row r="306" spans="1:10" ht="23.1" customHeight="1">
      <c r="A306" s="1" t="str">
        <f>IF(ISNUMBER(Lançamentos!A306),Lançamentos!A306,"")</f>
        <v/>
      </c>
      <c r="B306" s="1" t="str">
        <f>IF(Lançamentos!B306="","",Lançamentos!B306)</f>
        <v/>
      </c>
      <c r="C306" s="12" t="str">
        <f>IF(ISNUMBER(Lançamentos!C306),Lançamentos!C306,"")</f>
        <v/>
      </c>
      <c r="D306" s="10" t="str">
        <f>IF(A306="","",SUM(Lançamentos!D$9:D306))</f>
        <v/>
      </c>
      <c r="E306" s="1"/>
      <c r="F306" s="11" t="str">
        <f>IF(A306="","",SUM(Lançamentos!F$9:F306))</f>
        <v/>
      </c>
      <c r="G306" s="11" t="str">
        <f>IF(A306="","",SUM(Lançamentos!G$9:G306))</f>
        <v/>
      </c>
      <c r="H306" s="11" t="str">
        <f>IF(A306="","",SUM(Lançamentos!H$9:H306))</f>
        <v/>
      </c>
      <c r="I306" s="12" t="str">
        <f>IF(A306="","",SUM(Lançamentos!C$9:C306))</f>
        <v/>
      </c>
      <c r="J306" s="13" t="str">
        <f>IF(Lançamentos!J306="","",Lançamentos!J306)</f>
        <v/>
      </c>
    </row>
    <row r="307" spans="1:10" ht="23.1" customHeight="1">
      <c r="A307" s="1" t="str">
        <f>IF(ISNUMBER(Lançamentos!A307),Lançamentos!A307,"")</f>
        <v/>
      </c>
      <c r="B307" s="1" t="str">
        <f>IF(Lançamentos!B307="","",Lançamentos!B307)</f>
        <v/>
      </c>
      <c r="C307" s="12" t="str">
        <f>IF(ISNUMBER(Lançamentos!C307),Lançamentos!C307,"")</f>
        <v/>
      </c>
      <c r="D307" s="10" t="str">
        <f>IF(A307="","",SUM(Lançamentos!D$9:D307))</f>
        <v/>
      </c>
      <c r="E307" s="1"/>
      <c r="F307" s="11" t="str">
        <f>IF(A307="","",SUM(Lançamentos!F$9:F307))</f>
        <v/>
      </c>
      <c r="G307" s="11" t="str">
        <f>IF(A307="","",SUM(Lançamentos!G$9:G307))</f>
        <v/>
      </c>
      <c r="H307" s="11" t="str">
        <f>IF(A307="","",SUM(Lançamentos!H$9:H307))</f>
        <v/>
      </c>
      <c r="I307" s="12" t="str">
        <f>IF(A307="","",SUM(Lançamentos!C$9:C307))</f>
        <v/>
      </c>
      <c r="J307" s="13" t="str">
        <f>IF(Lançamentos!J307="","",Lançamentos!J307)</f>
        <v/>
      </c>
    </row>
    <row r="308" spans="1:10" ht="23.1" customHeight="1">
      <c r="A308" s="1" t="str">
        <f>IF(ISNUMBER(Lançamentos!A308),Lançamentos!A308,"")</f>
        <v/>
      </c>
      <c r="B308" s="1" t="str">
        <f>IF(Lançamentos!B308="","",Lançamentos!B308)</f>
        <v/>
      </c>
      <c r="C308" s="12" t="str">
        <f>IF(ISNUMBER(Lançamentos!C308),Lançamentos!C308,"")</f>
        <v/>
      </c>
      <c r="D308" s="10" t="str">
        <f>IF(A308="","",SUM(Lançamentos!D$9:D308))</f>
        <v/>
      </c>
      <c r="E308" s="1"/>
      <c r="F308" s="11" t="str">
        <f>IF(A308="","",SUM(Lançamentos!F$9:F308))</f>
        <v/>
      </c>
      <c r="G308" s="11" t="str">
        <f>IF(A308="","",SUM(Lançamentos!G$9:G308))</f>
        <v/>
      </c>
      <c r="H308" s="11" t="str">
        <f>IF(A308="","",SUM(Lançamentos!H$9:H308))</f>
        <v/>
      </c>
      <c r="I308" s="12" t="str">
        <f>IF(A308="","",SUM(Lançamentos!C$9:C308))</f>
        <v/>
      </c>
      <c r="J308" s="13" t="str">
        <f>IF(Lançamentos!J308="","",Lançamentos!J308)</f>
        <v/>
      </c>
    </row>
    <row r="309" spans="1:10" ht="23.1" customHeight="1">
      <c r="A309" s="1" t="str">
        <f>IF(ISNUMBER(Lançamentos!A309),Lançamentos!A309,"")</f>
        <v/>
      </c>
      <c r="B309" s="1" t="str">
        <f>IF(Lançamentos!B309="","",Lançamentos!B309)</f>
        <v/>
      </c>
      <c r="C309" s="12" t="str">
        <f>IF(ISNUMBER(Lançamentos!C309),Lançamentos!C309,"")</f>
        <v/>
      </c>
      <c r="D309" s="10" t="str">
        <f>IF(A309="","",SUM(Lançamentos!D$9:D309))</f>
        <v/>
      </c>
      <c r="E309" s="1"/>
      <c r="F309" s="11" t="str">
        <f>IF(A309="","",SUM(Lançamentos!F$9:F309))</f>
        <v/>
      </c>
      <c r="G309" s="11" t="str">
        <f>IF(A309="","",SUM(Lançamentos!G$9:G309))</f>
        <v/>
      </c>
      <c r="H309" s="11" t="str">
        <f>IF(A309="","",SUM(Lançamentos!H$9:H309))</f>
        <v/>
      </c>
      <c r="I309" s="12" t="str">
        <f>IF(A309="","",SUM(Lançamentos!C$9:C309))</f>
        <v/>
      </c>
      <c r="J309" s="13" t="str">
        <f>IF(Lançamentos!J309="","",Lançamentos!J309)</f>
        <v/>
      </c>
    </row>
    <row r="310" spans="1:10" ht="23.1" customHeight="1">
      <c r="A310" s="1" t="str">
        <f>IF(ISNUMBER(Lançamentos!A310),Lançamentos!A310,"")</f>
        <v/>
      </c>
      <c r="B310" s="1" t="str">
        <f>IF(Lançamentos!B310="","",Lançamentos!B310)</f>
        <v/>
      </c>
      <c r="C310" s="12" t="str">
        <f>IF(ISNUMBER(Lançamentos!C310),Lançamentos!C310,"")</f>
        <v/>
      </c>
      <c r="D310" s="10" t="str">
        <f>IF(A310="","",SUM(Lançamentos!D$9:D310))</f>
        <v/>
      </c>
      <c r="E310" s="1"/>
      <c r="F310" s="11" t="str">
        <f>IF(A310="","",SUM(Lançamentos!F$9:F310))</f>
        <v/>
      </c>
      <c r="G310" s="11" t="str">
        <f>IF(A310="","",SUM(Lançamentos!G$9:G310))</f>
        <v/>
      </c>
      <c r="H310" s="11" t="str">
        <f>IF(A310="","",SUM(Lançamentos!H$9:H310))</f>
        <v/>
      </c>
      <c r="I310" s="12" t="str">
        <f>IF(A310="","",SUM(Lançamentos!C$9:C310))</f>
        <v/>
      </c>
      <c r="J310" s="13" t="str">
        <f>IF(Lançamentos!J310="","",Lançamentos!J310)</f>
        <v/>
      </c>
    </row>
    <row r="311" spans="1:10" ht="23.1" customHeight="1">
      <c r="A311" s="1" t="str">
        <f>IF(ISNUMBER(Lançamentos!A311),Lançamentos!A311,"")</f>
        <v/>
      </c>
      <c r="B311" s="1" t="str">
        <f>IF(Lançamentos!B311="","",Lançamentos!B311)</f>
        <v/>
      </c>
      <c r="C311" s="12" t="str">
        <f>IF(ISNUMBER(Lançamentos!C311),Lançamentos!C311,"")</f>
        <v/>
      </c>
      <c r="D311" s="10" t="str">
        <f>IF(A311="","",SUM(Lançamentos!D$9:D311))</f>
        <v/>
      </c>
      <c r="E311" s="1"/>
      <c r="F311" s="11" t="str">
        <f>IF(A311="","",SUM(Lançamentos!F$9:F311))</f>
        <v/>
      </c>
      <c r="G311" s="11" t="str">
        <f>IF(A311="","",SUM(Lançamentos!G$9:G311))</f>
        <v/>
      </c>
      <c r="H311" s="11" t="str">
        <f>IF(A311="","",SUM(Lançamentos!H$9:H311))</f>
        <v/>
      </c>
      <c r="I311" s="12" t="str">
        <f>IF(A311="","",SUM(Lançamentos!C$9:C311))</f>
        <v/>
      </c>
      <c r="J311" s="13" t="str">
        <f>IF(Lançamentos!J311="","",Lançamentos!J311)</f>
        <v/>
      </c>
    </row>
    <row r="312" spans="1:10" ht="23.1" customHeight="1">
      <c r="A312" s="1" t="str">
        <f>IF(ISNUMBER(Lançamentos!A312),Lançamentos!A312,"")</f>
        <v/>
      </c>
      <c r="B312" s="1" t="str">
        <f>IF(Lançamentos!B312="","",Lançamentos!B312)</f>
        <v/>
      </c>
      <c r="C312" s="12" t="str">
        <f>IF(ISNUMBER(Lançamentos!C312),Lançamentos!C312,"")</f>
        <v/>
      </c>
      <c r="D312" s="10" t="str">
        <f>IF(A312="","",SUM(Lançamentos!D$9:D312))</f>
        <v/>
      </c>
      <c r="E312" s="1"/>
      <c r="F312" s="11" t="str">
        <f>IF(A312="","",SUM(Lançamentos!F$9:F312))</f>
        <v/>
      </c>
      <c r="G312" s="11" t="str">
        <f>IF(A312="","",SUM(Lançamentos!G$9:G312))</f>
        <v/>
      </c>
      <c r="H312" s="11" t="str">
        <f>IF(A312="","",SUM(Lançamentos!H$9:H312))</f>
        <v/>
      </c>
      <c r="I312" s="12" t="str">
        <f>IF(A312="","",SUM(Lançamentos!C$9:C312))</f>
        <v/>
      </c>
      <c r="J312" s="13" t="str">
        <f>IF(Lançamentos!J312="","",Lançamentos!J312)</f>
        <v/>
      </c>
    </row>
    <row r="313" spans="1:10" ht="23.1" customHeight="1">
      <c r="A313" s="1" t="str">
        <f>IF(ISNUMBER(Lançamentos!A313),Lançamentos!A313,"")</f>
        <v/>
      </c>
      <c r="B313" s="1" t="str">
        <f>IF(Lançamentos!B313="","",Lançamentos!B313)</f>
        <v/>
      </c>
      <c r="C313" s="12" t="str">
        <f>IF(ISNUMBER(Lançamentos!C313),Lançamentos!C313,"")</f>
        <v/>
      </c>
      <c r="D313" s="10" t="str">
        <f>IF(A313="","",SUM(Lançamentos!D$9:D313))</f>
        <v/>
      </c>
      <c r="E313" s="1"/>
      <c r="F313" s="11" t="str">
        <f>IF(A313="","",SUM(Lançamentos!F$9:F313))</f>
        <v/>
      </c>
      <c r="G313" s="11" t="str">
        <f>IF(A313="","",SUM(Lançamentos!G$9:G313))</f>
        <v/>
      </c>
      <c r="H313" s="11" t="str">
        <f>IF(A313="","",SUM(Lançamentos!H$9:H313))</f>
        <v/>
      </c>
      <c r="I313" s="12" t="str">
        <f>IF(A313="","",SUM(Lançamentos!C$9:C313))</f>
        <v/>
      </c>
      <c r="J313" s="13" t="str">
        <f>IF(Lançamentos!J313="","",Lançamentos!J313)</f>
        <v/>
      </c>
    </row>
    <row r="314" spans="1:10" ht="23.1" customHeight="1">
      <c r="A314" s="1" t="str">
        <f>IF(ISNUMBER(Lançamentos!A314),Lançamentos!A314,"")</f>
        <v/>
      </c>
      <c r="B314" s="1" t="str">
        <f>IF(Lançamentos!B314="","",Lançamentos!B314)</f>
        <v/>
      </c>
      <c r="C314" s="12" t="str">
        <f>IF(ISNUMBER(Lançamentos!C314),Lançamentos!C314,"")</f>
        <v/>
      </c>
      <c r="D314" s="10" t="str">
        <f>IF(A314="","",SUM(Lançamentos!D$9:D314))</f>
        <v/>
      </c>
      <c r="E314" s="1"/>
      <c r="F314" s="11" t="str">
        <f>IF(A314="","",SUM(Lançamentos!F$9:F314))</f>
        <v/>
      </c>
      <c r="G314" s="11" t="str">
        <f>IF(A314="","",SUM(Lançamentos!G$9:G314))</f>
        <v/>
      </c>
      <c r="H314" s="11" t="str">
        <f>IF(A314="","",SUM(Lançamentos!H$9:H314))</f>
        <v/>
      </c>
      <c r="I314" s="12" t="str">
        <f>IF(A314="","",SUM(Lançamentos!C$9:C314))</f>
        <v/>
      </c>
      <c r="J314" s="13" t="str">
        <f>IF(Lançamentos!J314="","",Lançamentos!J314)</f>
        <v/>
      </c>
    </row>
    <row r="315" spans="1:10" ht="23.1" customHeight="1">
      <c r="A315" s="1" t="str">
        <f>IF(ISNUMBER(Lançamentos!A315),Lançamentos!A315,"")</f>
        <v/>
      </c>
      <c r="B315" s="1" t="str">
        <f>IF(Lançamentos!B315="","",Lançamentos!B315)</f>
        <v/>
      </c>
      <c r="C315" s="12" t="str">
        <f>IF(ISNUMBER(Lançamentos!C315),Lançamentos!C315,"")</f>
        <v/>
      </c>
      <c r="D315" s="10" t="str">
        <f>IF(A315="","",SUM(Lançamentos!D$9:D315))</f>
        <v/>
      </c>
      <c r="E315" s="1"/>
      <c r="F315" s="11" t="str">
        <f>IF(A315="","",SUM(Lançamentos!F$9:F315))</f>
        <v/>
      </c>
      <c r="G315" s="11" t="str">
        <f>IF(A315="","",SUM(Lançamentos!G$9:G315))</f>
        <v/>
      </c>
      <c r="H315" s="11" t="str">
        <f>IF(A315="","",SUM(Lançamentos!H$9:H315))</f>
        <v/>
      </c>
      <c r="I315" s="12" t="str">
        <f>IF(A315="","",SUM(Lançamentos!C$9:C315))</f>
        <v/>
      </c>
      <c r="J315" s="13" t="str">
        <f>IF(Lançamentos!J315="","",Lançamentos!J315)</f>
        <v/>
      </c>
    </row>
    <row r="316" spans="1:10" ht="23.1" customHeight="1">
      <c r="A316" s="1" t="str">
        <f>IF(ISNUMBER(Lançamentos!A316),Lançamentos!A316,"")</f>
        <v/>
      </c>
      <c r="B316" s="1" t="str">
        <f>IF(Lançamentos!B316="","",Lançamentos!B316)</f>
        <v/>
      </c>
      <c r="C316" s="12" t="str">
        <f>IF(ISNUMBER(Lançamentos!C316),Lançamentos!C316,"")</f>
        <v/>
      </c>
      <c r="D316" s="10" t="str">
        <f>IF(A316="","",SUM(Lançamentos!D$9:D316))</f>
        <v/>
      </c>
      <c r="E316" s="1"/>
      <c r="F316" s="11" t="str">
        <f>IF(A316="","",SUM(Lançamentos!F$9:F316))</f>
        <v/>
      </c>
      <c r="G316" s="11" t="str">
        <f>IF(A316="","",SUM(Lançamentos!G$9:G316))</f>
        <v/>
      </c>
      <c r="H316" s="11" t="str">
        <f>IF(A316="","",SUM(Lançamentos!H$9:H316))</f>
        <v/>
      </c>
      <c r="I316" s="12" t="str">
        <f>IF(A316="","",SUM(Lançamentos!C$9:C316))</f>
        <v/>
      </c>
      <c r="J316" s="13" t="str">
        <f>IF(Lançamentos!J316="","",Lançamentos!J316)</f>
        <v/>
      </c>
    </row>
    <row r="317" spans="1:10" ht="23.1" customHeight="1">
      <c r="A317" s="1" t="str">
        <f>IF(ISNUMBER(Lançamentos!A317),Lançamentos!A317,"")</f>
        <v/>
      </c>
      <c r="B317" s="1" t="str">
        <f>IF(Lançamentos!B317="","",Lançamentos!B317)</f>
        <v/>
      </c>
      <c r="C317" s="12" t="str">
        <f>IF(ISNUMBER(Lançamentos!C317),Lançamentos!C317,"")</f>
        <v/>
      </c>
      <c r="D317" s="10" t="str">
        <f>IF(A317="","",SUM(Lançamentos!D$9:D317))</f>
        <v/>
      </c>
      <c r="E317" s="1"/>
      <c r="F317" s="11" t="str">
        <f>IF(A317="","",SUM(Lançamentos!F$9:F317))</f>
        <v/>
      </c>
      <c r="G317" s="11" t="str">
        <f>IF(A317="","",SUM(Lançamentos!G$9:G317))</f>
        <v/>
      </c>
      <c r="H317" s="11" t="str">
        <f>IF(A317="","",SUM(Lançamentos!H$9:H317))</f>
        <v/>
      </c>
      <c r="I317" s="12" t="str">
        <f>IF(A317="","",SUM(Lançamentos!C$9:C317))</f>
        <v/>
      </c>
      <c r="J317" s="13" t="str">
        <f>IF(Lançamentos!J317="","",Lançamentos!J317)</f>
        <v/>
      </c>
    </row>
    <row r="318" spans="1:10" ht="23.1" customHeight="1">
      <c r="A318" s="1" t="str">
        <f>IF(ISNUMBER(Lançamentos!A318),Lançamentos!A318,"")</f>
        <v/>
      </c>
      <c r="B318" s="1" t="str">
        <f>IF(Lançamentos!B318="","",Lançamentos!B318)</f>
        <v/>
      </c>
      <c r="C318" s="12" t="str">
        <f>IF(ISNUMBER(Lançamentos!C318),Lançamentos!C318,"")</f>
        <v/>
      </c>
      <c r="D318" s="10" t="str">
        <f>IF(A318="","",SUM(Lançamentos!D$9:D318))</f>
        <v/>
      </c>
      <c r="E318" s="1"/>
      <c r="F318" s="11" t="str">
        <f>IF(A318="","",SUM(Lançamentos!F$9:F318))</f>
        <v/>
      </c>
      <c r="G318" s="11" t="str">
        <f>IF(A318="","",SUM(Lançamentos!G$9:G318))</f>
        <v/>
      </c>
      <c r="H318" s="11" t="str">
        <f>IF(A318="","",SUM(Lançamentos!H$9:H318))</f>
        <v/>
      </c>
      <c r="I318" s="12" t="str">
        <f>IF(A318="","",SUM(Lançamentos!C$9:C318))</f>
        <v/>
      </c>
      <c r="J318" s="13" t="str">
        <f>IF(Lançamentos!J318="","",Lançamentos!J318)</f>
        <v/>
      </c>
    </row>
    <row r="319" spans="1:10" ht="23.1" customHeight="1">
      <c r="A319" s="1" t="str">
        <f>IF(ISNUMBER(Lançamentos!A319),Lançamentos!A319,"")</f>
        <v/>
      </c>
      <c r="B319" s="1" t="str">
        <f>IF(Lançamentos!B319="","",Lançamentos!B319)</f>
        <v/>
      </c>
      <c r="C319" s="12" t="str">
        <f>IF(ISNUMBER(Lançamentos!C319),Lançamentos!C319,"")</f>
        <v/>
      </c>
      <c r="D319" s="10" t="str">
        <f>IF(A319="","",SUM(Lançamentos!D$9:D319))</f>
        <v/>
      </c>
      <c r="E319" s="1"/>
      <c r="F319" s="11" t="str">
        <f>IF(A319="","",SUM(Lançamentos!F$9:F319))</f>
        <v/>
      </c>
      <c r="G319" s="11" t="str">
        <f>IF(A319="","",SUM(Lançamentos!G$9:G319))</f>
        <v/>
      </c>
      <c r="H319" s="11" t="str">
        <f>IF(A319="","",SUM(Lançamentos!H$9:H319))</f>
        <v/>
      </c>
      <c r="I319" s="12" t="str">
        <f>IF(A319="","",SUM(Lançamentos!C$9:C319))</f>
        <v/>
      </c>
      <c r="J319" s="13" t="str">
        <f>IF(Lançamentos!J319="","",Lançamentos!J319)</f>
        <v/>
      </c>
    </row>
    <row r="320" spans="1:10" ht="23.1" customHeight="1">
      <c r="A320" s="1" t="str">
        <f>IF(ISNUMBER(Lançamentos!A320),Lançamentos!A320,"")</f>
        <v/>
      </c>
      <c r="B320" s="1" t="str">
        <f>IF(Lançamentos!B320="","",Lançamentos!B320)</f>
        <v/>
      </c>
      <c r="C320" s="12" t="str">
        <f>IF(ISNUMBER(Lançamentos!C320),Lançamentos!C320,"")</f>
        <v/>
      </c>
      <c r="D320" s="10" t="str">
        <f>IF(A320="","",SUM(Lançamentos!D$9:D320))</f>
        <v/>
      </c>
      <c r="E320" s="1"/>
      <c r="F320" s="11" t="str">
        <f>IF(A320="","",SUM(Lançamentos!F$9:F320))</f>
        <v/>
      </c>
      <c r="G320" s="11" t="str">
        <f>IF(A320="","",SUM(Lançamentos!G$9:G320))</f>
        <v/>
      </c>
      <c r="H320" s="11" t="str">
        <f>IF(A320="","",SUM(Lançamentos!H$9:H320))</f>
        <v/>
      </c>
      <c r="I320" s="12" t="str">
        <f>IF(A320="","",SUM(Lançamentos!C$9:C320))</f>
        <v/>
      </c>
      <c r="J320" s="13" t="str">
        <f>IF(Lançamentos!J320="","",Lançamentos!J320)</f>
        <v/>
      </c>
    </row>
    <row r="321" spans="1:10" ht="23.1" customHeight="1">
      <c r="A321" s="1" t="str">
        <f>IF(ISNUMBER(Lançamentos!A321),Lançamentos!A321,"")</f>
        <v/>
      </c>
      <c r="B321" s="1" t="str">
        <f>IF(Lançamentos!B321="","",Lançamentos!B321)</f>
        <v/>
      </c>
      <c r="C321" s="12" t="str">
        <f>IF(ISNUMBER(Lançamentos!C321),Lançamentos!C321,"")</f>
        <v/>
      </c>
      <c r="D321" s="10" t="str">
        <f>IF(A321="","",SUM(Lançamentos!D$9:D321))</f>
        <v/>
      </c>
      <c r="E321" s="1"/>
      <c r="F321" s="11" t="str">
        <f>IF(A321="","",SUM(Lançamentos!F$9:F321))</f>
        <v/>
      </c>
      <c r="G321" s="11" t="str">
        <f>IF(A321="","",SUM(Lançamentos!G$9:G321))</f>
        <v/>
      </c>
      <c r="H321" s="11" t="str">
        <f>IF(A321="","",SUM(Lançamentos!H$9:H321))</f>
        <v/>
      </c>
      <c r="I321" s="12" t="str">
        <f>IF(A321="","",SUM(Lançamentos!C$9:C321))</f>
        <v/>
      </c>
      <c r="J321" s="13" t="str">
        <f>IF(Lançamentos!J321="","",Lançamentos!J321)</f>
        <v/>
      </c>
    </row>
    <row r="322" spans="1:10" ht="23.1" customHeight="1">
      <c r="A322" s="1" t="str">
        <f>IF(ISNUMBER(Lançamentos!A322),Lançamentos!A322,"")</f>
        <v/>
      </c>
      <c r="B322" s="1" t="str">
        <f>IF(Lançamentos!B322="","",Lançamentos!B322)</f>
        <v/>
      </c>
      <c r="C322" s="12" t="str">
        <f>IF(ISNUMBER(Lançamentos!C322),Lançamentos!C322,"")</f>
        <v/>
      </c>
      <c r="D322" s="10" t="str">
        <f>IF(A322="","",SUM(Lançamentos!D$9:D322))</f>
        <v/>
      </c>
      <c r="E322" s="1"/>
      <c r="F322" s="11" t="str">
        <f>IF(A322="","",SUM(Lançamentos!F$9:F322))</f>
        <v/>
      </c>
      <c r="G322" s="11" t="str">
        <f>IF(A322="","",SUM(Lançamentos!G$9:G322))</f>
        <v/>
      </c>
      <c r="H322" s="11" t="str">
        <f>IF(A322="","",SUM(Lançamentos!H$9:H322))</f>
        <v/>
      </c>
      <c r="I322" s="12" t="str">
        <f>IF(A322="","",SUM(Lançamentos!C$9:C322))</f>
        <v/>
      </c>
      <c r="J322" s="13" t="str">
        <f>IF(Lançamentos!J322="","",Lançamentos!J322)</f>
        <v/>
      </c>
    </row>
    <row r="323" spans="1:10" ht="23.1" customHeight="1">
      <c r="A323" s="1" t="str">
        <f>IF(ISNUMBER(Lançamentos!A323),Lançamentos!A323,"")</f>
        <v/>
      </c>
      <c r="B323" s="1" t="str">
        <f>IF(Lançamentos!B323="","",Lançamentos!B323)</f>
        <v/>
      </c>
      <c r="C323" s="12" t="str">
        <f>IF(ISNUMBER(Lançamentos!C323),Lançamentos!C323,"")</f>
        <v/>
      </c>
      <c r="D323" s="10" t="str">
        <f>IF(A323="","",SUM(Lançamentos!D$9:D323))</f>
        <v/>
      </c>
      <c r="E323" s="1"/>
      <c r="F323" s="11" t="str">
        <f>IF(A323="","",SUM(Lançamentos!F$9:F323))</f>
        <v/>
      </c>
      <c r="G323" s="11" t="str">
        <f>IF(A323="","",SUM(Lançamentos!G$9:G323))</f>
        <v/>
      </c>
      <c r="H323" s="11" t="str">
        <f>IF(A323="","",SUM(Lançamentos!H$9:H323))</f>
        <v/>
      </c>
      <c r="I323" s="12" t="str">
        <f>IF(A323="","",SUM(Lançamentos!C$9:C323))</f>
        <v/>
      </c>
      <c r="J323" s="13" t="str">
        <f>IF(Lançamentos!J323="","",Lançamentos!J323)</f>
        <v/>
      </c>
    </row>
    <row r="324" spans="1:10" ht="23.1" customHeight="1">
      <c r="A324" s="1" t="str">
        <f>IF(ISNUMBER(Lançamentos!A324),Lançamentos!A324,"")</f>
        <v/>
      </c>
      <c r="B324" s="1" t="str">
        <f>IF(Lançamentos!B324="","",Lançamentos!B324)</f>
        <v/>
      </c>
      <c r="C324" s="12" t="str">
        <f>IF(ISNUMBER(Lançamentos!C324),Lançamentos!C324,"")</f>
        <v/>
      </c>
      <c r="D324" s="10" t="str">
        <f>IF(A324="","",SUM(Lançamentos!D$9:D324))</f>
        <v/>
      </c>
      <c r="E324" s="1"/>
      <c r="F324" s="11" t="str">
        <f>IF(A324="","",SUM(Lançamentos!F$9:F324))</f>
        <v/>
      </c>
      <c r="G324" s="11" t="str">
        <f>IF(A324="","",SUM(Lançamentos!G$9:G324))</f>
        <v/>
      </c>
      <c r="H324" s="11" t="str">
        <f>IF(A324="","",SUM(Lançamentos!H$9:H324))</f>
        <v/>
      </c>
      <c r="I324" s="12" t="str">
        <f>IF(A324="","",SUM(Lançamentos!C$9:C324))</f>
        <v/>
      </c>
      <c r="J324" s="13" t="str">
        <f>IF(Lançamentos!J324="","",Lançamentos!J324)</f>
        <v/>
      </c>
    </row>
    <row r="325" spans="1:10" ht="23.1" customHeight="1">
      <c r="A325" s="1" t="str">
        <f>IF(ISNUMBER(Lançamentos!A325),Lançamentos!A325,"")</f>
        <v/>
      </c>
      <c r="B325" s="1" t="str">
        <f>IF(Lançamentos!B325="","",Lançamentos!B325)</f>
        <v/>
      </c>
      <c r="C325" s="12" t="str">
        <f>IF(ISNUMBER(Lançamentos!C325),Lançamentos!C325,"")</f>
        <v/>
      </c>
      <c r="D325" s="10" t="str">
        <f>IF(A325="","",SUM(Lançamentos!D$9:D325))</f>
        <v/>
      </c>
      <c r="E325" s="1"/>
      <c r="F325" s="11" t="str">
        <f>IF(A325="","",SUM(Lançamentos!F$9:F325))</f>
        <v/>
      </c>
      <c r="G325" s="11" t="str">
        <f>IF(A325="","",SUM(Lançamentos!G$9:G325))</f>
        <v/>
      </c>
      <c r="H325" s="11" t="str">
        <f>IF(A325="","",SUM(Lançamentos!H$9:H325))</f>
        <v/>
      </c>
      <c r="I325" s="12" t="str">
        <f>IF(A325="","",SUM(Lançamentos!C$9:C325))</f>
        <v/>
      </c>
      <c r="J325" s="13" t="str">
        <f>IF(Lançamentos!J325="","",Lançamentos!J325)</f>
        <v/>
      </c>
    </row>
    <row r="326" spans="1:10" ht="23.1" customHeight="1">
      <c r="A326" s="1" t="str">
        <f>IF(ISNUMBER(Lançamentos!A326),Lançamentos!A326,"")</f>
        <v/>
      </c>
      <c r="B326" s="1" t="str">
        <f>IF(Lançamentos!B326="","",Lançamentos!B326)</f>
        <v/>
      </c>
      <c r="C326" s="12" t="str">
        <f>IF(ISNUMBER(Lançamentos!C326),Lançamentos!C326,"")</f>
        <v/>
      </c>
      <c r="D326" s="10" t="str">
        <f>IF(A326="","",SUM(Lançamentos!D$9:D326))</f>
        <v/>
      </c>
      <c r="E326" s="1"/>
      <c r="F326" s="11" t="str">
        <f>IF(A326="","",SUM(Lançamentos!F$9:F326))</f>
        <v/>
      </c>
      <c r="G326" s="11" t="str">
        <f>IF(A326="","",SUM(Lançamentos!G$9:G326))</f>
        <v/>
      </c>
      <c r="H326" s="11" t="str">
        <f>IF(A326="","",SUM(Lançamentos!H$9:H326))</f>
        <v/>
      </c>
      <c r="I326" s="12" t="str">
        <f>IF(A326="","",SUM(Lançamentos!C$9:C326))</f>
        <v/>
      </c>
      <c r="J326" s="13" t="str">
        <f>IF(Lançamentos!J326="","",Lançamentos!J326)</f>
        <v/>
      </c>
    </row>
    <row r="327" spans="1:10" ht="23.1" customHeight="1">
      <c r="A327" s="1" t="str">
        <f>IF(ISNUMBER(Lançamentos!A327),Lançamentos!A327,"")</f>
        <v/>
      </c>
      <c r="B327" s="1" t="str">
        <f>IF(Lançamentos!B327="","",Lançamentos!B327)</f>
        <v/>
      </c>
      <c r="C327" s="12" t="str">
        <f>IF(ISNUMBER(Lançamentos!C327),Lançamentos!C327,"")</f>
        <v/>
      </c>
      <c r="D327" s="10" t="str">
        <f>IF(A327="","",SUM(Lançamentos!D$9:D327))</f>
        <v/>
      </c>
      <c r="E327" s="1"/>
      <c r="F327" s="11" t="str">
        <f>IF(A327="","",SUM(Lançamentos!F$9:F327))</f>
        <v/>
      </c>
      <c r="G327" s="11" t="str">
        <f>IF(A327="","",SUM(Lançamentos!G$9:G327))</f>
        <v/>
      </c>
      <c r="H327" s="11" t="str">
        <f>IF(A327="","",SUM(Lançamentos!H$9:H327))</f>
        <v/>
      </c>
      <c r="I327" s="12" t="str">
        <f>IF(A327="","",SUM(Lançamentos!C$9:C327))</f>
        <v/>
      </c>
      <c r="J327" s="13" t="str">
        <f>IF(Lançamentos!J327="","",Lançamentos!J327)</f>
        <v/>
      </c>
    </row>
    <row r="328" spans="1:10" ht="23.1" customHeight="1">
      <c r="A328" s="1" t="str">
        <f>IF(ISNUMBER(Lançamentos!A328),Lançamentos!A328,"")</f>
        <v/>
      </c>
      <c r="B328" s="1" t="str">
        <f>IF(Lançamentos!B328="","",Lançamentos!B328)</f>
        <v/>
      </c>
      <c r="C328" s="12" t="str">
        <f>IF(ISNUMBER(Lançamentos!C328),Lançamentos!C328,"")</f>
        <v/>
      </c>
      <c r="D328" s="10" t="str">
        <f>IF(A328="","",SUM(Lançamentos!D$9:D328))</f>
        <v/>
      </c>
      <c r="E328" s="1"/>
      <c r="F328" s="11" t="str">
        <f>IF(A328="","",SUM(Lançamentos!F$9:F328))</f>
        <v/>
      </c>
      <c r="G328" s="11" t="str">
        <f>IF(A328="","",SUM(Lançamentos!G$9:G328))</f>
        <v/>
      </c>
      <c r="H328" s="11" t="str">
        <f>IF(A328="","",SUM(Lançamentos!H$9:H328))</f>
        <v/>
      </c>
      <c r="I328" s="12" t="str">
        <f>IF(A328="","",SUM(Lançamentos!C$9:C328))</f>
        <v/>
      </c>
      <c r="J328" s="13" t="str">
        <f>IF(Lançamentos!J328="","",Lançamentos!J328)</f>
        <v/>
      </c>
    </row>
    <row r="329" spans="1:10" ht="23.1" customHeight="1">
      <c r="A329" s="1" t="str">
        <f>IF(ISNUMBER(Lançamentos!A329),Lançamentos!A329,"")</f>
        <v/>
      </c>
      <c r="B329" s="1" t="str">
        <f>IF(Lançamentos!B329="","",Lançamentos!B329)</f>
        <v/>
      </c>
      <c r="C329" s="12" t="str">
        <f>IF(ISNUMBER(Lançamentos!C329),Lançamentos!C329,"")</f>
        <v/>
      </c>
      <c r="D329" s="10" t="str">
        <f>IF(A329="","",SUM(Lançamentos!D$9:D329))</f>
        <v/>
      </c>
      <c r="E329" s="1"/>
      <c r="F329" s="11" t="str">
        <f>IF(A329="","",SUM(Lançamentos!F$9:F329))</f>
        <v/>
      </c>
      <c r="G329" s="11" t="str">
        <f>IF(A329="","",SUM(Lançamentos!G$9:G329))</f>
        <v/>
      </c>
      <c r="H329" s="11" t="str">
        <f>IF(A329="","",SUM(Lançamentos!H$9:H329))</f>
        <v/>
      </c>
      <c r="I329" s="12" t="str">
        <f>IF(A329="","",SUM(Lançamentos!C$9:C329))</f>
        <v/>
      </c>
      <c r="J329" s="13" t="str">
        <f>IF(Lançamentos!J329="","",Lançamentos!J329)</f>
        <v/>
      </c>
    </row>
    <row r="330" spans="1:10" ht="23.1" customHeight="1">
      <c r="A330" s="1" t="str">
        <f>IF(ISNUMBER(Lançamentos!A330),Lançamentos!A330,"")</f>
        <v/>
      </c>
      <c r="B330" s="1" t="str">
        <f>IF(Lançamentos!B330="","",Lançamentos!B330)</f>
        <v/>
      </c>
      <c r="C330" s="12" t="str">
        <f>IF(ISNUMBER(Lançamentos!C330),Lançamentos!C330,"")</f>
        <v/>
      </c>
      <c r="D330" s="10" t="str">
        <f>IF(A330="","",SUM(Lançamentos!D$9:D330))</f>
        <v/>
      </c>
      <c r="E330" s="1"/>
      <c r="F330" s="11" t="str">
        <f>IF(A330="","",SUM(Lançamentos!F$9:F330))</f>
        <v/>
      </c>
      <c r="G330" s="11" t="str">
        <f>IF(A330="","",SUM(Lançamentos!G$9:G330))</f>
        <v/>
      </c>
      <c r="H330" s="11" t="str">
        <f>IF(A330="","",SUM(Lançamentos!H$9:H330))</f>
        <v/>
      </c>
      <c r="I330" s="12" t="str">
        <f>IF(A330="","",SUM(Lançamentos!C$9:C330))</f>
        <v/>
      </c>
      <c r="J330" s="13" t="str">
        <f>IF(Lançamentos!J330="","",Lançamentos!J330)</f>
        <v/>
      </c>
    </row>
    <row r="331" spans="1:10" ht="23.1" customHeight="1">
      <c r="A331" s="1" t="str">
        <f>IF(ISNUMBER(Lançamentos!A331),Lançamentos!A331,"")</f>
        <v/>
      </c>
      <c r="B331" s="1" t="str">
        <f>IF(Lançamentos!B331="","",Lançamentos!B331)</f>
        <v/>
      </c>
      <c r="C331" s="12" t="str">
        <f>IF(ISNUMBER(Lançamentos!C331),Lançamentos!C331,"")</f>
        <v/>
      </c>
      <c r="D331" s="10" t="str">
        <f>IF(A331="","",SUM(Lançamentos!D$9:D331))</f>
        <v/>
      </c>
      <c r="E331" s="1"/>
      <c r="F331" s="11" t="str">
        <f>IF(A331="","",SUM(Lançamentos!F$9:F331))</f>
        <v/>
      </c>
      <c r="G331" s="11" t="str">
        <f>IF(A331="","",SUM(Lançamentos!G$9:G331))</f>
        <v/>
      </c>
      <c r="H331" s="11" t="str">
        <f>IF(A331="","",SUM(Lançamentos!H$9:H331))</f>
        <v/>
      </c>
      <c r="I331" s="12" t="str">
        <f>IF(A331="","",SUM(Lançamentos!C$9:C331))</f>
        <v/>
      </c>
      <c r="J331" s="13" t="str">
        <f>IF(Lançamentos!J331="","",Lançamentos!J331)</f>
        <v/>
      </c>
    </row>
    <row r="332" spans="1:10" ht="23.1" customHeight="1">
      <c r="A332" s="1" t="str">
        <f>IF(ISNUMBER(Lançamentos!A332),Lançamentos!A332,"")</f>
        <v/>
      </c>
      <c r="B332" s="1" t="str">
        <f>IF(Lançamentos!B332="","",Lançamentos!B332)</f>
        <v/>
      </c>
      <c r="C332" s="12" t="str">
        <f>IF(ISNUMBER(Lançamentos!C332),Lançamentos!C332,"")</f>
        <v/>
      </c>
      <c r="D332" s="10" t="str">
        <f>IF(A332="","",SUM(Lançamentos!D$9:D332))</f>
        <v/>
      </c>
      <c r="E332" s="1"/>
      <c r="F332" s="11" t="str">
        <f>IF(A332="","",SUM(Lançamentos!F$9:F332))</f>
        <v/>
      </c>
      <c r="G332" s="11" t="str">
        <f>IF(A332="","",SUM(Lançamentos!G$9:G332))</f>
        <v/>
      </c>
      <c r="H332" s="11" t="str">
        <f>IF(A332="","",SUM(Lançamentos!H$9:H332))</f>
        <v/>
      </c>
      <c r="I332" s="12" t="str">
        <f>IF(A332="","",SUM(Lançamentos!C$9:C332))</f>
        <v/>
      </c>
      <c r="J332" s="13" t="str">
        <f>IF(Lançamentos!J332="","",Lançamentos!J332)</f>
        <v/>
      </c>
    </row>
    <row r="333" spans="1:10" ht="23.1" customHeight="1">
      <c r="A333" s="1" t="str">
        <f>IF(ISNUMBER(Lançamentos!A333),Lançamentos!A333,"")</f>
        <v/>
      </c>
      <c r="B333" s="1" t="str">
        <f>IF(Lançamentos!B333="","",Lançamentos!B333)</f>
        <v/>
      </c>
      <c r="C333" s="12" t="str">
        <f>IF(ISNUMBER(Lançamentos!C333),Lançamentos!C333,"")</f>
        <v/>
      </c>
      <c r="D333" s="10" t="str">
        <f>IF(A333="","",SUM(Lançamentos!D$9:D333))</f>
        <v/>
      </c>
      <c r="E333" s="1"/>
      <c r="F333" s="11" t="str">
        <f>IF(A333="","",SUM(Lançamentos!F$9:F333))</f>
        <v/>
      </c>
      <c r="G333" s="11" t="str">
        <f>IF(A333="","",SUM(Lançamentos!G$9:G333))</f>
        <v/>
      </c>
      <c r="H333" s="11" t="str">
        <f>IF(A333="","",SUM(Lançamentos!H$9:H333))</f>
        <v/>
      </c>
      <c r="I333" s="12" t="str">
        <f>IF(A333="","",SUM(Lançamentos!C$9:C333))</f>
        <v/>
      </c>
      <c r="J333" s="13" t="str">
        <f>IF(Lançamentos!J333="","",Lançamentos!J333)</f>
        <v/>
      </c>
    </row>
    <row r="334" spans="1:10" ht="23.1" customHeight="1">
      <c r="A334" s="1" t="str">
        <f>IF(ISNUMBER(Lançamentos!A334),Lançamentos!A334,"")</f>
        <v/>
      </c>
      <c r="B334" s="1" t="str">
        <f>IF(Lançamentos!B334="","",Lançamentos!B334)</f>
        <v/>
      </c>
      <c r="C334" s="12" t="str">
        <f>IF(ISNUMBER(Lançamentos!C334),Lançamentos!C334,"")</f>
        <v/>
      </c>
      <c r="D334" s="10" t="str">
        <f>IF(A334="","",SUM(Lançamentos!D$9:D334))</f>
        <v/>
      </c>
      <c r="E334" s="1"/>
      <c r="F334" s="11" t="str">
        <f>IF(A334="","",SUM(Lançamentos!F$9:F334))</f>
        <v/>
      </c>
      <c r="G334" s="11" t="str">
        <f>IF(A334="","",SUM(Lançamentos!G$9:G334))</f>
        <v/>
      </c>
      <c r="H334" s="11" t="str">
        <f>IF(A334="","",SUM(Lançamentos!H$9:H334))</f>
        <v/>
      </c>
      <c r="I334" s="12" t="str">
        <f>IF(A334="","",SUM(Lançamentos!C$9:C334))</f>
        <v/>
      </c>
      <c r="J334" s="13" t="str">
        <f>IF(Lançamentos!J334="","",Lançamentos!J334)</f>
        <v/>
      </c>
    </row>
    <row r="335" spans="1:10" ht="23.1" customHeight="1">
      <c r="A335" s="1" t="str">
        <f>IF(ISNUMBER(Lançamentos!A335),Lançamentos!A335,"")</f>
        <v/>
      </c>
      <c r="B335" s="1" t="str">
        <f>IF(Lançamentos!B335="","",Lançamentos!B335)</f>
        <v/>
      </c>
      <c r="C335" s="12" t="str">
        <f>IF(ISNUMBER(Lançamentos!C335),Lançamentos!C335,"")</f>
        <v/>
      </c>
      <c r="D335" s="10" t="str">
        <f>IF(A335="","",SUM(Lançamentos!D$9:D335))</f>
        <v/>
      </c>
      <c r="E335" s="1"/>
      <c r="F335" s="11" t="str">
        <f>IF(A335="","",SUM(Lançamentos!F$9:F335))</f>
        <v/>
      </c>
      <c r="G335" s="11" t="str">
        <f>IF(A335="","",SUM(Lançamentos!G$9:G335))</f>
        <v/>
      </c>
      <c r="H335" s="11" t="str">
        <f>IF(A335="","",SUM(Lançamentos!H$9:H335))</f>
        <v/>
      </c>
      <c r="I335" s="12" t="str">
        <f>IF(A335="","",SUM(Lançamentos!C$9:C335))</f>
        <v/>
      </c>
      <c r="J335" s="13" t="str">
        <f>IF(Lançamentos!J335="","",Lançamentos!J335)</f>
        <v/>
      </c>
    </row>
    <row r="336" spans="1:10" ht="23.1" customHeight="1">
      <c r="A336" s="1" t="str">
        <f>IF(ISNUMBER(Lançamentos!A336),Lançamentos!A336,"")</f>
        <v/>
      </c>
      <c r="B336" s="1" t="str">
        <f>IF(Lançamentos!B336="","",Lançamentos!B336)</f>
        <v/>
      </c>
      <c r="C336" s="12" t="str">
        <f>IF(ISNUMBER(Lançamentos!C336),Lançamentos!C336,"")</f>
        <v/>
      </c>
      <c r="D336" s="10" t="str">
        <f>IF(A336="","",SUM(Lançamentos!D$9:D336))</f>
        <v/>
      </c>
      <c r="E336" s="1"/>
      <c r="F336" s="11" t="str">
        <f>IF(A336="","",SUM(Lançamentos!F$9:F336))</f>
        <v/>
      </c>
      <c r="G336" s="11" t="str">
        <f>IF(A336="","",SUM(Lançamentos!G$9:G336))</f>
        <v/>
      </c>
      <c r="H336" s="11" t="str">
        <f>IF(A336="","",SUM(Lançamentos!H$9:H336))</f>
        <v/>
      </c>
      <c r="I336" s="12" t="str">
        <f>IF(A336="","",SUM(Lançamentos!C$9:C336))</f>
        <v/>
      </c>
      <c r="J336" s="13" t="str">
        <f>IF(Lançamentos!J336="","",Lançamentos!J336)</f>
        <v/>
      </c>
    </row>
    <row r="337" spans="1:10" ht="23.1" customHeight="1">
      <c r="A337" s="1" t="str">
        <f>IF(ISNUMBER(Lançamentos!A337),Lançamentos!A337,"")</f>
        <v/>
      </c>
      <c r="B337" s="1" t="str">
        <f>IF(Lançamentos!B337="","",Lançamentos!B337)</f>
        <v/>
      </c>
      <c r="C337" s="12" t="str">
        <f>IF(ISNUMBER(Lançamentos!C337),Lançamentos!C337,"")</f>
        <v/>
      </c>
      <c r="D337" s="10" t="str">
        <f>IF(A337="","",SUM(Lançamentos!D$9:D337))</f>
        <v/>
      </c>
      <c r="E337" s="1"/>
      <c r="F337" s="11" t="str">
        <f>IF(A337="","",SUM(Lançamentos!F$9:F337))</f>
        <v/>
      </c>
      <c r="G337" s="11" t="str">
        <f>IF(A337="","",SUM(Lançamentos!G$9:G337))</f>
        <v/>
      </c>
      <c r="H337" s="11" t="str">
        <f>IF(A337="","",SUM(Lançamentos!H$9:H337))</f>
        <v/>
      </c>
      <c r="I337" s="12" t="str">
        <f>IF(A337="","",SUM(Lançamentos!C$9:C337))</f>
        <v/>
      </c>
      <c r="J337" s="13" t="str">
        <f>IF(Lançamentos!J337="","",Lançamentos!J337)</f>
        <v/>
      </c>
    </row>
    <row r="338" spans="1:10" ht="23.1" customHeight="1">
      <c r="A338" s="1" t="str">
        <f>IF(ISNUMBER(Lançamentos!A338),Lançamentos!A338,"")</f>
        <v/>
      </c>
      <c r="B338" s="1" t="str">
        <f>IF(Lançamentos!B338="","",Lançamentos!B338)</f>
        <v/>
      </c>
      <c r="C338" s="12" t="str">
        <f>IF(ISNUMBER(Lançamentos!C338),Lançamentos!C338,"")</f>
        <v/>
      </c>
      <c r="D338" s="10" t="str">
        <f>IF(A338="","",SUM(Lançamentos!D$9:D338))</f>
        <v/>
      </c>
      <c r="E338" s="1"/>
      <c r="F338" s="11" t="str">
        <f>IF(A338="","",SUM(Lançamentos!F$9:F338))</f>
        <v/>
      </c>
      <c r="G338" s="11" t="str">
        <f>IF(A338="","",SUM(Lançamentos!G$9:G338))</f>
        <v/>
      </c>
      <c r="H338" s="11" t="str">
        <f>IF(A338="","",SUM(Lançamentos!H$9:H338))</f>
        <v/>
      </c>
      <c r="I338" s="12" t="str">
        <f>IF(A338="","",SUM(Lançamentos!C$9:C338))</f>
        <v/>
      </c>
      <c r="J338" s="13" t="str">
        <f>IF(Lançamentos!J338="","",Lançamentos!J338)</f>
        <v/>
      </c>
    </row>
    <row r="339" spans="1:10" ht="23.1" customHeight="1">
      <c r="A339" s="1" t="str">
        <f>IF(ISNUMBER(Lançamentos!A339),Lançamentos!A339,"")</f>
        <v/>
      </c>
      <c r="B339" s="1" t="str">
        <f>IF(Lançamentos!B339="","",Lançamentos!B339)</f>
        <v/>
      </c>
      <c r="C339" s="12" t="str">
        <f>IF(ISNUMBER(Lançamentos!C339),Lançamentos!C339,"")</f>
        <v/>
      </c>
      <c r="D339" s="10" t="str">
        <f>IF(A339="","",SUM(Lançamentos!D$9:D339))</f>
        <v/>
      </c>
      <c r="E339" s="1"/>
      <c r="F339" s="11" t="str">
        <f>IF(A339="","",SUM(Lançamentos!F$9:F339))</f>
        <v/>
      </c>
      <c r="G339" s="11" t="str">
        <f>IF(A339="","",SUM(Lançamentos!G$9:G339))</f>
        <v/>
      </c>
      <c r="H339" s="11" t="str">
        <f>IF(A339="","",SUM(Lançamentos!H$9:H339))</f>
        <v/>
      </c>
      <c r="I339" s="12" t="str">
        <f>IF(A339="","",SUM(Lançamentos!C$9:C339))</f>
        <v/>
      </c>
      <c r="J339" s="13" t="str">
        <f>IF(Lançamentos!J339="","",Lançamentos!J339)</f>
        <v/>
      </c>
    </row>
    <row r="340" spans="1:10" ht="23.1" customHeight="1">
      <c r="A340" s="1" t="str">
        <f>IF(ISNUMBER(Lançamentos!A340),Lançamentos!A340,"")</f>
        <v/>
      </c>
      <c r="B340" s="1" t="str">
        <f>IF(Lançamentos!B340="","",Lançamentos!B340)</f>
        <v/>
      </c>
      <c r="C340" s="12" t="str">
        <f>IF(ISNUMBER(Lançamentos!C340),Lançamentos!C340,"")</f>
        <v/>
      </c>
      <c r="D340" s="10" t="str">
        <f>IF(A340="","",SUM(Lançamentos!D$9:D340))</f>
        <v/>
      </c>
      <c r="E340" s="1"/>
      <c r="F340" s="11" t="str">
        <f>IF(A340="","",SUM(Lançamentos!F$9:F340))</f>
        <v/>
      </c>
      <c r="G340" s="11" t="str">
        <f>IF(A340="","",SUM(Lançamentos!G$9:G340))</f>
        <v/>
      </c>
      <c r="H340" s="11" t="str">
        <f>IF(A340="","",SUM(Lançamentos!H$9:H340))</f>
        <v/>
      </c>
      <c r="I340" s="12" t="str">
        <f>IF(A340="","",SUM(Lançamentos!C$9:C340))</f>
        <v/>
      </c>
      <c r="J340" s="13" t="str">
        <f>IF(Lançamentos!J340="","",Lançamentos!J340)</f>
        <v/>
      </c>
    </row>
    <row r="341" spans="1:10" ht="23.1" customHeight="1">
      <c r="A341" s="1" t="str">
        <f>IF(ISNUMBER(Lançamentos!A341),Lançamentos!A341,"")</f>
        <v/>
      </c>
      <c r="B341" s="1" t="str">
        <f>IF(Lançamentos!B341="","",Lançamentos!B341)</f>
        <v/>
      </c>
      <c r="C341" s="12" t="str">
        <f>IF(ISNUMBER(Lançamentos!C341),Lançamentos!C341,"")</f>
        <v/>
      </c>
      <c r="D341" s="10" t="str">
        <f>IF(A341="","",SUM(Lançamentos!D$9:D341))</f>
        <v/>
      </c>
      <c r="E341" s="1"/>
      <c r="F341" s="11" t="str">
        <f>IF(A341="","",SUM(Lançamentos!F$9:F341))</f>
        <v/>
      </c>
      <c r="G341" s="11" t="str">
        <f>IF(A341="","",SUM(Lançamentos!G$9:G341))</f>
        <v/>
      </c>
      <c r="H341" s="11" t="str">
        <f>IF(A341="","",SUM(Lançamentos!H$9:H341))</f>
        <v/>
      </c>
      <c r="I341" s="12" t="str">
        <f>IF(A341="","",SUM(Lançamentos!C$9:C341))</f>
        <v/>
      </c>
      <c r="J341" s="13" t="str">
        <f>IF(Lançamentos!J341="","",Lançamentos!J341)</f>
        <v/>
      </c>
    </row>
    <row r="342" spans="1:10" ht="23.1" customHeight="1">
      <c r="A342" s="1" t="str">
        <f>IF(ISNUMBER(Lançamentos!A342),Lançamentos!A342,"")</f>
        <v/>
      </c>
      <c r="B342" s="1" t="str">
        <f>IF(Lançamentos!B342="","",Lançamentos!B342)</f>
        <v/>
      </c>
      <c r="C342" s="12" t="str">
        <f>IF(ISNUMBER(Lançamentos!C342),Lançamentos!C342,"")</f>
        <v/>
      </c>
      <c r="D342" s="10" t="str">
        <f>IF(A342="","",SUM(Lançamentos!D$9:D342))</f>
        <v/>
      </c>
      <c r="E342" s="1"/>
      <c r="F342" s="11" t="str">
        <f>IF(A342="","",SUM(Lançamentos!F$9:F342))</f>
        <v/>
      </c>
      <c r="G342" s="11" t="str">
        <f>IF(A342="","",SUM(Lançamentos!G$9:G342))</f>
        <v/>
      </c>
      <c r="H342" s="11" t="str">
        <f>IF(A342="","",SUM(Lançamentos!H$9:H342))</f>
        <v/>
      </c>
      <c r="I342" s="12" t="str">
        <f>IF(A342="","",SUM(Lançamentos!C$9:C342))</f>
        <v/>
      </c>
      <c r="J342" s="13" t="str">
        <f>IF(Lançamentos!J342="","",Lançamentos!J342)</f>
        <v/>
      </c>
    </row>
    <row r="343" spans="1:10" ht="23.1" customHeight="1">
      <c r="A343" s="1" t="str">
        <f>IF(ISNUMBER(Lançamentos!A343),Lançamentos!A343,"")</f>
        <v/>
      </c>
      <c r="B343" s="1" t="str">
        <f>IF(Lançamentos!B343="","",Lançamentos!B343)</f>
        <v/>
      </c>
      <c r="C343" s="12" t="str">
        <f>IF(ISNUMBER(Lançamentos!C343),Lançamentos!C343,"")</f>
        <v/>
      </c>
      <c r="D343" s="10" t="str">
        <f>IF(A343="","",SUM(Lançamentos!D$9:D343))</f>
        <v/>
      </c>
      <c r="E343" s="1"/>
      <c r="F343" s="11" t="str">
        <f>IF(A343="","",SUM(Lançamentos!F$9:F343))</f>
        <v/>
      </c>
      <c r="G343" s="11" t="str">
        <f>IF(A343="","",SUM(Lançamentos!G$9:G343))</f>
        <v/>
      </c>
      <c r="H343" s="11" t="str">
        <f>IF(A343="","",SUM(Lançamentos!H$9:H343))</f>
        <v/>
      </c>
      <c r="I343" s="12" t="str">
        <f>IF(A343="","",SUM(Lançamentos!C$9:C343))</f>
        <v/>
      </c>
      <c r="J343" s="13" t="str">
        <f>IF(Lançamentos!J343="","",Lançamentos!J343)</f>
        <v/>
      </c>
    </row>
    <row r="344" spans="1:10" ht="23.1" customHeight="1">
      <c r="A344" s="1" t="str">
        <f>IF(ISNUMBER(Lançamentos!A344),Lançamentos!A344,"")</f>
        <v/>
      </c>
      <c r="B344" s="1" t="str">
        <f>IF(Lançamentos!B344="","",Lançamentos!B344)</f>
        <v/>
      </c>
      <c r="C344" s="12" t="str">
        <f>IF(ISNUMBER(Lançamentos!C344),Lançamentos!C344,"")</f>
        <v/>
      </c>
      <c r="D344" s="10" t="str">
        <f>IF(A344="","",SUM(Lançamentos!D$9:D344))</f>
        <v/>
      </c>
      <c r="E344" s="1"/>
      <c r="F344" s="11" t="str">
        <f>IF(A344="","",SUM(Lançamentos!F$9:F344))</f>
        <v/>
      </c>
      <c r="G344" s="11" t="str">
        <f>IF(A344="","",SUM(Lançamentos!G$9:G344))</f>
        <v/>
      </c>
      <c r="H344" s="11" t="str">
        <f>IF(A344="","",SUM(Lançamentos!H$9:H344))</f>
        <v/>
      </c>
      <c r="I344" s="12" t="str">
        <f>IF(A344="","",SUM(Lançamentos!C$9:C344))</f>
        <v/>
      </c>
      <c r="J344" s="13" t="str">
        <f>IF(Lançamentos!J344="","",Lançamentos!J344)</f>
        <v/>
      </c>
    </row>
    <row r="345" spans="1:10" ht="23.1" customHeight="1">
      <c r="A345" s="1" t="str">
        <f>IF(ISNUMBER(Lançamentos!A345),Lançamentos!A345,"")</f>
        <v/>
      </c>
      <c r="B345" s="1" t="str">
        <f>IF(Lançamentos!B345="","",Lançamentos!B345)</f>
        <v/>
      </c>
      <c r="C345" s="12" t="str">
        <f>IF(ISNUMBER(Lançamentos!C345),Lançamentos!C345,"")</f>
        <v/>
      </c>
      <c r="D345" s="10" t="str">
        <f>IF(A345="","",SUM(Lançamentos!D$9:D345))</f>
        <v/>
      </c>
      <c r="E345" s="1"/>
      <c r="F345" s="11" t="str">
        <f>IF(A345="","",SUM(Lançamentos!F$9:F345))</f>
        <v/>
      </c>
      <c r="G345" s="11" t="str">
        <f>IF(A345="","",SUM(Lançamentos!G$9:G345))</f>
        <v/>
      </c>
      <c r="H345" s="11" t="str">
        <f>IF(A345="","",SUM(Lançamentos!H$9:H345))</f>
        <v/>
      </c>
      <c r="I345" s="12" t="str">
        <f>IF(A345="","",SUM(Lançamentos!C$9:C345))</f>
        <v/>
      </c>
      <c r="J345" s="13" t="str">
        <f>IF(Lançamentos!J345="","",Lançamentos!J345)</f>
        <v/>
      </c>
    </row>
    <row r="346" spans="1:10" ht="23.1" customHeight="1">
      <c r="A346" s="1" t="str">
        <f>IF(ISNUMBER(Lançamentos!A346),Lançamentos!A346,"")</f>
        <v/>
      </c>
      <c r="B346" s="1" t="str">
        <f>IF(Lançamentos!B346="","",Lançamentos!B346)</f>
        <v/>
      </c>
      <c r="C346" s="12" t="str">
        <f>IF(ISNUMBER(Lançamentos!C346),Lançamentos!C346,"")</f>
        <v/>
      </c>
      <c r="D346" s="10" t="str">
        <f>IF(A346="","",SUM(Lançamentos!D$9:D346))</f>
        <v/>
      </c>
      <c r="E346" s="1"/>
      <c r="F346" s="11" t="str">
        <f>IF(A346="","",SUM(Lançamentos!F$9:F346))</f>
        <v/>
      </c>
      <c r="G346" s="11" t="str">
        <f>IF(A346="","",SUM(Lançamentos!G$9:G346))</f>
        <v/>
      </c>
      <c r="H346" s="11" t="str">
        <f>IF(A346="","",SUM(Lançamentos!H$9:H346))</f>
        <v/>
      </c>
      <c r="I346" s="12" t="str">
        <f>IF(A346="","",SUM(Lançamentos!C$9:C346))</f>
        <v/>
      </c>
      <c r="J346" s="13" t="str">
        <f>IF(Lançamentos!J346="","",Lançamentos!J346)</f>
        <v/>
      </c>
    </row>
    <row r="347" spans="1:10" ht="23.1" customHeight="1">
      <c r="A347" s="1" t="str">
        <f>IF(ISNUMBER(Lançamentos!A347),Lançamentos!A347,"")</f>
        <v/>
      </c>
      <c r="B347" s="1" t="str">
        <f>IF(Lançamentos!B347="","",Lançamentos!B347)</f>
        <v/>
      </c>
      <c r="C347" s="12" t="str">
        <f>IF(ISNUMBER(Lançamentos!C347),Lançamentos!C347,"")</f>
        <v/>
      </c>
      <c r="D347" s="10" t="str">
        <f>IF(A347="","",SUM(Lançamentos!D$9:D347))</f>
        <v/>
      </c>
      <c r="E347" s="1"/>
      <c r="F347" s="11" t="str">
        <f>IF(A347="","",SUM(Lançamentos!F$9:F347))</f>
        <v/>
      </c>
      <c r="G347" s="11" t="str">
        <f>IF(A347="","",SUM(Lançamentos!G$9:G347))</f>
        <v/>
      </c>
      <c r="H347" s="11" t="str">
        <f>IF(A347="","",SUM(Lançamentos!H$9:H347))</f>
        <v/>
      </c>
      <c r="I347" s="12" t="str">
        <f>IF(A347="","",SUM(Lançamentos!C$9:C347))</f>
        <v/>
      </c>
      <c r="J347" s="13" t="str">
        <f>IF(Lançamentos!J347="","",Lançamentos!J347)</f>
        <v/>
      </c>
    </row>
    <row r="348" spans="1:10" ht="23.1" customHeight="1">
      <c r="A348" s="1" t="str">
        <f>IF(ISNUMBER(Lançamentos!A348),Lançamentos!A348,"")</f>
        <v/>
      </c>
      <c r="B348" s="1" t="str">
        <f>IF(Lançamentos!B348="","",Lançamentos!B348)</f>
        <v/>
      </c>
      <c r="C348" s="12" t="str">
        <f>IF(ISNUMBER(Lançamentos!C348),Lançamentos!C348,"")</f>
        <v/>
      </c>
      <c r="D348" s="10" t="str">
        <f>IF(A348="","",SUM(Lançamentos!D$9:D348))</f>
        <v/>
      </c>
      <c r="E348" s="1"/>
      <c r="F348" s="11" t="str">
        <f>IF(A348="","",SUM(Lançamentos!F$9:F348))</f>
        <v/>
      </c>
      <c r="G348" s="11" t="str">
        <f>IF(A348="","",SUM(Lançamentos!G$9:G348))</f>
        <v/>
      </c>
      <c r="H348" s="11" t="str">
        <f>IF(A348="","",SUM(Lançamentos!H$9:H348))</f>
        <v/>
      </c>
      <c r="I348" s="12" t="str">
        <f>IF(A348="","",SUM(Lançamentos!C$9:C348))</f>
        <v/>
      </c>
      <c r="J348" s="13" t="str">
        <f>IF(Lançamentos!J348="","",Lançamentos!J348)</f>
        <v/>
      </c>
    </row>
    <row r="349" spans="1:10" ht="23.1" customHeight="1">
      <c r="A349" s="1" t="str">
        <f>IF(ISNUMBER(Lançamentos!A349),Lançamentos!A349,"")</f>
        <v/>
      </c>
      <c r="B349" s="1" t="str">
        <f>IF(Lançamentos!B349="","",Lançamentos!B349)</f>
        <v/>
      </c>
      <c r="C349" s="12" t="str">
        <f>IF(ISNUMBER(Lançamentos!C349),Lançamentos!C349,"")</f>
        <v/>
      </c>
      <c r="D349" s="10" t="str">
        <f>IF(A349="","",SUM(Lançamentos!D$9:D349))</f>
        <v/>
      </c>
      <c r="E349" s="1"/>
      <c r="F349" s="11" t="str">
        <f>IF(A349="","",SUM(Lançamentos!F$9:F349))</f>
        <v/>
      </c>
      <c r="G349" s="11" t="str">
        <f>IF(A349="","",SUM(Lançamentos!G$9:G349))</f>
        <v/>
      </c>
      <c r="H349" s="11" t="str">
        <f>IF(A349="","",SUM(Lançamentos!H$9:H349))</f>
        <v/>
      </c>
      <c r="I349" s="12" t="str">
        <f>IF(A349="","",SUM(Lançamentos!C$9:C349))</f>
        <v/>
      </c>
      <c r="J349" s="13" t="str">
        <f>IF(Lançamentos!J349="","",Lançamentos!J349)</f>
        <v/>
      </c>
    </row>
    <row r="350" spans="1:10" ht="23.1" customHeight="1">
      <c r="A350" s="1" t="str">
        <f>IF(ISNUMBER(Lançamentos!A350),Lançamentos!A350,"")</f>
        <v/>
      </c>
      <c r="B350" s="1" t="str">
        <f>IF(Lançamentos!B350="","",Lançamentos!B350)</f>
        <v/>
      </c>
      <c r="C350" s="12" t="str">
        <f>IF(ISNUMBER(Lançamentos!C350),Lançamentos!C350,"")</f>
        <v/>
      </c>
      <c r="D350" s="10" t="str">
        <f>IF(A350="","",SUM(Lançamentos!D$9:D350))</f>
        <v/>
      </c>
      <c r="E350" s="1"/>
      <c r="F350" s="11" t="str">
        <f>IF(A350="","",SUM(Lançamentos!F$9:F350))</f>
        <v/>
      </c>
      <c r="G350" s="11" t="str">
        <f>IF(A350="","",SUM(Lançamentos!G$9:G350))</f>
        <v/>
      </c>
      <c r="H350" s="11" t="str">
        <f>IF(A350="","",SUM(Lançamentos!H$9:H350))</f>
        <v/>
      </c>
      <c r="I350" s="12" t="str">
        <f>IF(A350="","",SUM(Lançamentos!C$9:C350))</f>
        <v/>
      </c>
      <c r="J350" s="13" t="str">
        <f>IF(Lançamentos!J350="","",Lançamentos!J350)</f>
        <v/>
      </c>
    </row>
    <row r="351" spans="1:10" ht="23.1" customHeight="1">
      <c r="A351" s="1" t="str">
        <f>IF(ISNUMBER(Lançamentos!A351),Lançamentos!A351,"")</f>
        <v/>
      </c>
      <c r="B351" s="1" t="str">
        <f>IF(Lançamentos!B351="","",Lançamentos!B351)</f>
        <v/>
      </c>
      <c r="C351" s="12" t="str">
        <f>IF(ISNUMBER(Lançamentos!C351),Lançamentos!C351,"")</f>
        <v/>
      </c>
      <c r="D351" s="10" t="str">
        <f>IF(A351="","",SUM(Lançamentos!D$9:D351))</f>
        <v/>
      </c>
      <c r="E351" s="1"/>
      <c r="F351" s="11" t="str">
        <f>IF(A351="","",SUM(Lançamentos!F$9:F351))</f>
        <v/>
      </c>
      <c r="G351" s="11" t="str">
        <f>IF(A351="","",SUM(Lançamentos!G$9:G351))</f>
        <v/>
      </c>
      <c r="H351" s="11" t="str">
        <f>IF(A351="","",SUM(Lançamentos!H$9:H351))</f>
        <v/>
      </c>
      <c r="I351" s="12" t="str">
        <f>IF(A351="","",SUM(Lançamentos!C$9:C351))</f>
        <v/>
      </c>
      <c r="J351" s="13" t="str">
        <f>IF(Lançamentos!J351="","",Lançamentos!J351)</f>
        <v/>
      </c>
    </row>
    <row r="352" spans="1:10" ht="23.1" customHeight="1">
      <c r="A352" s="1" t="str">
        <f>IF(ISNUMBER(Lançamentos!A352),Lançamentos!A352,"")</f>
        <v/>
      </c>
      <c r="B352" s="1" t="str">
        <f>IF(Lançamentos!B352="","",Lançamentos!B352)</f>
        <v/>
      </c>
      <c r="C352" s="12" t="str">
        <f>IF(ISNUMBER(Lançamentos!C352),Lançamentos!C352,"")</f>
        <v/>
      </c>
      <c r="D352" s="10" t="str">
        <f>IF(A352="","",SUM(Lançamentos!D$9:D352))</f>
        <v/>
      </c>
      <c r="E352" s="1"/>
      <c r="F352" s="11" t="str">
        <f>IF(A352="","",SUM(Lançamentos!F$9:F352))</f>
        <v/>
      </c>
      <c r="G352" s="11" t="str">
        <f>IF(A352="","",SUM(Lançamentos!G$9:G352))</f>
        <v/>
      </c>
      <c r="H352" s="11" t="str">
        <f>IF(A352="","",SUM(Lançamentos!H$9:H352))</f>
        <v/>
      </c>
      <c r="I352" s="12" t="str">
        <f>IF(A352="","",SUM(Lançamentos!C$9:C352))</f>
        <v/>
      </c>
      <c r="J352" s="13" t="str">
        <f>IF(Lançamentos!J352="","",Lançamentos!J352)</f>
        <v/>
      </c>
    </row>
    <row r="353" spans="1:10" ht="23.1" customHeight="1">
      <c r="A353" s="1" t="str">
        <f>IF(ISNUMBER(Lançamentos!A353),Lançamentos!A353,"")</f>
        <v/>
      </c>
      <c r="B353" s="1" t="str">
        <f>IF(Lançamentos!B353="","",Lançamentos!B353)</f>
        <v/>
      </c>
      <c r="C353" s="12" t="str">
        <f>IF(ISNUMBER(Lançamentos!C353),Lançamentos!C353,"")</f>
        <v/>
      </c>
      <c r="D353" s="10" t="str">
        <f>IF(A353="","",SUM(Lançamentos!D$9:D353))</f>
        <v/>
      </c>
      <c r="E353" s="1"/>
      <c r="F353" s="11" t="str">
        <f>IF(A353="","",SUM(Lançamentos!F$9:F353))</f>
        <v/>
      </c>
      <c r="G353" s="11" t="str">
        <f>IF(A353="","",SUM(Lançamentos!G$9:G353))</f>
        <v/>
      </c>
      <c r="H353" s="11" t="str">
        <f>IF(A353="","",SUM(Lançamentos!H$9:H353))</f>
        <v/>
      </c>
      <c r="I353" s="12" t="str">
        <f>IF(A353="","",SUM(Lançamentos!C$9:C353))</f>
        <v/>
      </c>
      <c r="J353" s="13" t="str">
        <f>IF(Lançamentos!J353="","",Lançamentos!J353)</f>
        <v/>
      </c>
    </row>
    <row r="354" spans="1:10" ht="23.1" customHeight="1">
      <c r="A354" s="1" t="str">
        <f>IF(ISNUMBER(Lançamentos!A354),Lançamentos!A354,"")</f>
        <v/>
      </c>
      <c r="B354" s="1" t="str">
        <f>IF(Lançamentos!B354="","",Lançamentos!B354)</f>
        <v/>
      </c>
      <c r="C354" s="12" t="str">
        <f>IF(ISNUMBER(Lançamentos!C354),Lançamentos!C354,"")</f>
        <v/>
      </c>
      <c r="D354" s="10" t="str">
        <f>IF(A354="","",SUM(Lançamentos!D$9:D354))</f>
        <v/>
      </c>
      <c r="E354" s="1"/>
      <c r="F354" s="11" t="str">
        <f>IF(A354="","",SUM(Lançamentos!F$9:F354))</f>
        <v/>
      </c>
      <c r="G354" s="11" t="str">
        <f>IF(A354="","",SUM(Lançamentos!G$9:G354))</f>
        <v/>
      </c>
      <c r="H354" s="11" t="str">
        <f>IF(A354="","",SUM(Lançamentos!H$9:H354))</f>
        <v/>
      </c>
      <c r="I354" s="12" t="str">
        <f>IF(A354="","",SUM(Lançamentos!C$9:C354))</f>
        <v/>
      </c>
      <c r="J354" s="13" t="str">
        <f>IF(Lançamentos!J354="","",Lançamentos!J354)</f>
        <v/>
      </c>
    </row>
    <row r="355" spans="1:10" ht="23.1" customHeight="1">
      <c r="A355" s="1" t="str">
        <f>IF(ISNUMBER(Lançamentos!A355),Lançamentos!A355,"")</f>
        <v/>
      </c>
      <c r="B355" s="1" t="str">
        <f>IF(Lançamentos!B355="","",Lançamentos!B355)</f>
        <v/>
      </c>
      <c r="C355" s="12" t="str">
        <f>IF(ISNUMBER(Lançamentos!C355),Lançamentos!C355,"")</f>
        <v/>
      </c>
      <c r="D355" s="10" t="str">
        <f>IF(A355="","",SUM(Lançamentos!D$9:D355))</f>
        <v/>
      </c>
      <c r="E355" s="1"/>
      <c r="F355" s="11" t="str">
        <f>IF(A355="","",SUM(Lançamentos!F$9:F355))</f>
        <v/>
      </c>
      <c r="G355" s="11" t="str">
        <f>IF(A355="","",SUM(Lançamentos!G$9:G355))</f>
        <v/>
      </c>
      <c r="H355" s="11" t="str">
        <f>IF(A355="","",SUM(Lançamentos!H$9:H355))</f>
        <v/>
      </c>
      <c r="I355" s="12" t="str">
        <f>IF(A355="","",SUM(Lançamentos!C$9:C355))</f>
        <v/>
      </c>
      <c r="J355" s="13" t="str">
        <f>IF(Lançamentos!J355="","",Lançamentos!J355)</f>
        <v/>
      </c>
    </row>
    <row r="356" spans="1:10" ht="23.1" customHeight="1">
      <c r="A356" s="1" t="str">
        <f>IF(ISNUMBER(Lançamentos!A356),Lançamentos!A356,"")</f>
        <v/>
      </c>
      <c r="B356" s="1" t="str">
        <f>IF(Lançamentos!B356="","",Lançamentos!B356)</f>
        <v/>
      </c>
      <c r="C356" s="12" t="str">
        <f>IF(ISNUMBER(Lançamentos!C356),Lançamentos!C356,"")</f>
        <v/>
      </c>
      <c r="D356" s="10" t="str">
        <f>IF(A356="","",SUM(Lançamentos!D$9:D356))</f>
        <v/>
      </c>
      <c r="E356" s="1"/>
      <c r="F356" s="11" t="str">
        <f>IF(A356="","",SUM(Lançamentos!F$9:F356))</f>
        <v/>
      </c>
      <c r="G356" s="11" t="str">
        <f>IF(A356="","",SUM(Lançamentos!G$9:G356))</f>
        <v/>
      </c>
      <c r="H356" s="11" t="str">
        <f>IF(A356="","",SUM(Lançamentos!H$9:H356))</f>
        <v/>
      </c>
      <c r="I356" s="12" t="str">
        <f>IF(A356="","",SUM(Lançamentos!C$9:C356))</f>
        <v/>
      </c>
      <c r="J356" s="13" t="str">
        <f>IF(Lançamentos!J356="","",Lançamentos!J356)</f>
        <v/>
      </c>
    </row>
    <row r="357" spans="1:10" ht="23.1" customHeight="1">
      <c r="A357" s="1" t="str">
        <f>IF(ISNUMBER(Lançamentos!A357),Lançamentos!A357,"")</f>
        <v/>
      </c>
      <c r="B357" s="1" t="str">
        <f>IF(Lançamentos!B357="","",Lançamentos!B357)</f>
        <v/>
      </c>
      <c r="C357" s="12" t="str">
        <f>IF(ISNUMBER(Lançamentos!C357),Lançamentos!C357,"")</f>
        <v/>
      </c>
      <c r="D357" s="10" t="str">
        <f>IF(A357="","",SUM(Lançamentos!D$9:D357))</f>
        <v/>
      </c>
      <c r="E357" s="1"/>
      <c r="F357" s="11" t="str">
        <f>IF(A357="","",SUM(Lançamentos!F$9:F357))</f>
        <v/>
      </c>
      <c r="G357" s="11" t="str">
        <f>IF(A357="","",SUM(Lançamentos!G$9:G357))</f>
        <v/>
      </c>
      <c r="H357" s="11" t="str">
        <f>IF(A357="","",SUM(Lançamentos!H$9:H357))</f>
        <v/>
      </c>
      <c r="I357" s="12" t="str">
        <f>IF(A357="","",SUM(Lançamentos!C$9:C357))</f>
        <v/>
      </c>
      <c r="J357" s="13" t="str">
        <f>IF(Lançamentos!J357="","",Lançamentos!J357)</f>
        <v/>
      </c>
    </row>
    <row r="358" spans="1:10" ht="23.1" customHeight="1">
      <c r="A358" s="1" t="str">
        <f>IF(ISNUMBER(Lançamentos!A358),Lançamentos!A358,"")</f>
        <v/>
      </c>
      <c r="B358" s="1" t="str">
        <f>IF(Lançamentos!B358="","",Lançamentos!B358)</f>
        <v/>
      </c>
      <c r="C358" s="12" t="str">
        <f>IF(ISNUMBER(Lançamentos!C358),Lançamentos!C358,"")</f>
        <v/>
      </c>
      <c r="D358" s="10" t="str">
        <f>IF(A358="","",SUM(Lançamentos!D$9:D358))</f>
        <v/>
      </c>
      <c r="E358" s="1"/>
      <c r="F358" s="11" t="str">
        <f>IF(A358="","",SUM(Lançamentos!F$9:F358))</f>
        <v/>
      </c>
      <c r="G358" s="11" t="str">
        <f>IF(A358="","",SUM(Lançamentos!G$9:G358))</f>
        <v/>
      </c>
      <c r="H358" s="11" t="str">
        <f>IF(A358="","",SUM(Lançamentos!H$9:H358))</f>
        <v/>
      </c>
      <c r="I358" s="12" t="str">
        <f>IF(A358="","",SUM(Lançamentos!C$9:C358))</f>
        <v/>
      </c>
      <c r="J358" s="13" t="str">
        <f>IF(Lançamentos!J358="","",Lançamentos!J358)</f>
        <v/>
      </c>
    </row>
    <row r="359" spans="1:10" ht="23.1" customHeight="1">
      <c r="A359" s="1" t="str">
        <f>IF(ISNUMBER(Lançamentos!A359),Lançamentos!A359,"")</f>
        <v/>
      </c>
      <c r="B359" s="1" t="str">
        <f>IF(Lançamentos!B359="","",Lançamentos!B359)</f>
        <v/>
      </c>
      <c r="C359" s="12" t="str">
        <f>IF(ISNUMBER(Lançamentos!C359),Lançamentos!C359,"")</f>
        <v/>
      </c>
      <c r="D359" s="10" t="str">
        <f>IF(A359="","",SUM(Lançamentos!D$9:D359))</f>
        <v/>
      </c>
      <c r="E359" s="1"/>
      <c r="F359" s="11" t="str">
        <f>IF(A359="","",SUM(Lançamentos!F$9:F359))</f>
        <v/>
      </c>
      <c r="G359" s="11" t="str">
        <f>IF(A359="","",SUM(Lançamentos!G$9:G359))</f>
        <v/>
      </c>
      <c r="H359" s="11" t="str">
        <f>IF(A359="","",SUM(Lançamentos!H$9:H359))</f>
        <v/>
      </c>
      <c r="I359" s="12" t="str">
        <f>IF(A359="","",SUM(Lançamentos!C$9:C359))</f>
        <v/>
      </c>
      <c r="J359" s="13" t="str">
        <f>IF(Lançamentos!J359="","",Lançamentos!J359)</f>
        <v/>
      </c>
    </row>
    <row r="360" spans="1:10" ht="23.1" customHeight="1">
      <c r="A360" s="1" t="str">
        <f>IF(ISNUMBER(Lançamentos!A360),Lançamentos!A360,"")</f>
        <v/>
      </c>
      <c r="B360" s="1" t="str">
        <f>IF(Lançamentos!B360="","",Lançamentos!B360)</f>
        <v/>
      </c>
      <c r="C360" s="12" t="str">
        <f>IF(ISNUMBER(Lançamentos!C360),Lançamentos!C360,"")</f>
        <v/>
      </c>
      <c r="D360" s="10" t="str">
        <f>IF(A360="","",SUM(Lançamentos!D$9:D360))</f>
        <v/>
      </c>
      <c r="E360" s="1"/>
      <c r="F360" s="11" t="str">
        <f>IF(A360="","",SUM(Lançamentos!F$9:F360))</f>
        <v/>
      </c>
      <c r="G360" s="11" t="str">
        <f>IF(A360="","",SUM(Lançamentos!G$9:G360))</f>
        <v/>
      </c>
      <c r="H360" s="11" t="str">
        <f>IF(A360="","",SUM(Lançamentos!H$9:H360))</f>
        <v/>
      </c>
      <c r="I360" s="12" t="str">
        <f>IF(A360="","",SUM(Lançamentos!C$9:C360))</f>
        <v/>
      </c>
      <c r="J360" s="13" t="str">
        <f>IF(Lançamentos!J360="","",Lançamentos!J360)</f>
        <v/>
      </c>
    </row>
    <row r="361" spans="1:10" ht="23.1" customHeight="1">
      <c r="A361" s="1" t="str">
        <f>IF(ISNUMBER(Lançamentos!A361),Lançamentos!A361,"")</f>
        <v/>
      </c>
      <c r="B361" s="1" t="str">
        <f>IF(Lançamentos!B361="","",Lançamentos!B361)</f>
        <v/>
      </c>
      <c r="C361" s="12" t="str">
        <f>IF(ISNUMBER(Lançamentos!C361),Lançamentos!C361,"")</f>
        <v/>
      </c>
      <c r="D361" s="10" t="str">
        <f>IF(A361="","",SUM(Lançamentos!D$9:D361))</f>
        <v/>
      </c>
      <c r="E361" s="1"/>
      <c r="F361" s="11" t="str">
        <f>IF(A361="","",SUM(Lançamentos!F$9:F361))</f>
        <v/>
      </c>
      <c r="G361" s="11" t="str">
        <f>IF(A361="","",SUM(Lançamentos!G$9:G361))</f>
        <v/>
      </c>
      <c r="H361" s="11" t="str">
        <f>IF(A361="","",SUM(Lançamentos!H$9:H361))</f>
        <v/>
      </c>
      <c r="I361" s="12" t="str">
        <f>IF(A361="","",SUM(Lançamentos!C$9:C361))</f>
        <v/>
      </c>
      <c r="J361" s="13" t="str">
        <f>IF(Lançamentos!J361="","",Lançamentos!J361)</f>
        <v/>
      </c>
    </row>
    <row r="362" spans="1:10" ht="23.1" customHeight="1">
      <c r="A362" s="1" t="str">
        <f>IF(ISNUMBER(Lançamentos!A362),Lançamentos!A362,"")</f>
        <v/>
      </c>
      <c r="B362" s="1" t="str">
        <f>IF(Lançamentos!B362="","",Lançamentos!B362)</f>
        <v/>
      </c>
      <c r="C362" s="12" t="str">
        <f>IF(ISNUMBER(Lançamentos!C362),Lançamentos!C362,"")</f>
        <v/>
      </c>
      <c r="D362" s="10" t="str">
        <f>IF(A362="","",SUM(Lançamentos!D$9:D362))</f>
        <v/>
      </c>
      <c r="E362" s="1"/>
      <c r="F362" s="11" t="str">
        <f>IF(A362="","",SUM(Lançamentos!F$9:F362))</f>
        <v/>
      </c>
      <c r="G362" s="11" t="str">
        <f>IF(A362="","",SUM(Lançamentos!G$9:G362))</f>
        <v/>
      </c>
      <c r="H362" s="11" t="str">
        <f>IF(A362="","",SUM(Lançamentos!H$9:H362))</f>
        <v/>
      </c>
      <c r="I362" s="12" t="str">
        <f>IF(A362="","",SUM(Lançamentos!C$9:C362))</f>
        <v/>
      </c>
      <c r="J362" s="13" t="str">
        <f>IF(Lançamentos!J362="","",Lançamentos!J362)</f>
        <v/>
      </c>
    </row>
    <row r="363" spans="1:10" ht="23.1" customHeight="1">
      <c r="A363" s="1" t="str">
        <f>IF(ISNUMBER(Lançamentos!A363),Lançamentos!A363,"")</f>
        <v/>
      </c>
      <c r="B363" s="1" t="str">
        <f>IF(Lançamentos!B363="","",Lançamentos!B363)</f>
        <v/>
      </c>
      <c r="C363" s="12" t="str">
        <f>IF(ISNUMBER(Lançamentos!C363),Lançamentos!C363,"")</f>
        <v/>
      </c>
      <c r="D363" s="10" t="str">
        <f>IF(A363="","",SUM(Lançamentos!D$9:D363))</f>
        <v/>
      </c>
      <c r="E363" s="1"/>
      <c r="F363" s="11" t="str">
        <f>IF(A363="","",SUM(Lançamentos!F$9:F363))</f>
        <v/>
      </c>
      <c r="G363" s="11" t="str">
        <f>IF(A363="","",SUM(Lançamentos!G$9:G363))</f>
        <v/>
      </c>
      <c r="H363" s="11" t="str">
        <f>IF(A363="","",SUM(Lançamentos!H$9:H363))</f>
        <v/>
      </c>
      <c r="I363" s="12" t="str">
        <f>IF(A363="","",SUM(Lançamentos!C$9:C363))</f>
        <v/>
      </c>
      <c r="J363" s="13" t="str">
        <f>IF(Lançamentos!J363="","",Lançamentos!J363)</f>
        <v/>
      </c>
    </row>
    <row r="364" spans="1:10" ht="23.1" customHeight="1">
      <c r="A364" s="1" t="str">
        <f>IF(ISNUMBER(Lançamentos!A364),Lançamentos!A364,"")</f>
        <v/>
      </c>
      <c r="B364" s="1" t="str">
        <f>IF(Lançamentos!B364="","",Lançamentos!B364)</f>
        <v/>
      </c>
      <c r="C364" s="12" t="str">
        <f>IF(ISNUMBER(Lançamentos!C364),Lançamentos!C364,"")</f>
        <v/>
      </c>
      <c r="D364" s="10" t="str">
        <f>IF(A364="","",SUM(Lançamentos!D$9:D364))</f>
        <v/>
      </c>
      <c r="E364" s="1"/>
      <c r="F364" s="11" t="str">
        <f>IF(A364="","",SUM(Lançamentos!F$9:F364))</f>
        <v/>
      </c>
      <c r="G364" s="11" t="str">
        <f>IF(A364="","",SUM(Lançamentos!G$9:G364))</f>
        <v/>
      </c>
      <c r="H364" s="11" t="str">
        <f>IF(A364="","",SUM(Lançamentos!H$9:H364))</f>
        <v/>
      </c>
      <c r="I364" s="12" t="str">
        <f>IF(A364="","",SUM(Lançamentos!C$9:C364))</f>
        <v/>
      </c>
      <c r="J364" s="13" t="str">
        <f>IF(Lançamentos!J364="","",Lançamentos!J364)</f>
        <v/>
      </c>
    </row>
    <row r="365" spans="1:10" ht="23.1" customHeight="1">
      <c r="A365" s="1" t="str">
        <f>IF(ISNUMBER(Lançamentos!A365),Lançamentos!A365,"")</f>
        <v/>
      </c>
      <c r="B365" s="1" t="str">
        <f>IF(Lançamentos!B365="","",Lançamentos!B365)</f>
        <v/>
      </c>
      <c r="C365" s="12" t="str">
        <f>IF(ISNUMBER(Lançamentos!C365),Lançamentos!C365,"")</f>
        <v/>
      </c>
      <c r="D365" s="10" t="str">
        <f>IF(A365="","",SUM(Lançamentos!D$9:D365))</f>
        <v/>
      </c>
      <c r="E365" s="1"/>
      <c r="F365" s="11" t="str">
        <f>IF(A365="","",SUM(Lançamentos!F$9:F365))</f>
        <v/>
      </c>
      <c r="G365" s="11" t="str">
        <f>IF(A365="","",SUM(Lançamentos!G$9:G365))</f>
        <v/>
      </c>
      <c r="H365" s="11" t="str">
        <f>IF(A365="","",SUM(Lançamentos!H$9:H365))</f>
        <v/>
      </c>
      <c r="I365" s="12" t="str">
        <f>IF(A365="","",SUM(Lançamentos!C$9:C365))</f>
        <v/>
      </c>
      <c r="J365" s="13" t="str">
        <f>IF(Lançamentos!J365="","",Lançamentos!J365)</f>
        <v/>
      </c>
    </row>
    <row r="366" spans="1:10" ht="23.1" customHeight="1">
      <c r="A366" s="1" t="str">
        <f>IF(ISNUMBER(Lançamentos!A366),Lançamentos!A366,"")</f>
        <v/>
      </c>
      <c r="B366" s="1" t="str">
        <f>IF(Lançamentos!B366="","",Lançamentos!B366)</f>
        <v/>
      </c>
      <c r="C366" s="12" t="str">
        <f>IF(ISNUMBER(Lançamentos!C366),Lançamentos!C366,"")</f>
        <v/>
      </c>
      <c r="D366" s="10" t="str">
        <f>IF(A366="","",SUM(Lançamentos!D$9:D366))</f>
        <v/>
      </c>
      <c r="E366" s="1"/>
      <c r="F366" s="11" t="str">
        <f>IF(A366="","",SUM(Lançamentos!F$9:F366))</f>
        <v/>
      </c>
      <c r="G366" s="11" t="str">
        <f>IF(A366="","",SUM(Lançamentos!G$9:G366))</f>
        <v/>
      </c>
      <c r="H366" s="11" t="str">
        <f>IF(A366="","",SUM(Lançamentos!H$9:H366))</f>
        <v/>
      </c>
      <c r="I366" s="12" t="str">
        <f>IF(A366="","",SUM(Lançamentos!C$9:C366))</f>
        <v/>
      </c>
      <c r="J366" s="13" t="str">
        <f>IF(Lançamentos!J366="","",Lançamentos!J366)</f>
        <v/>
      </c>
    </row>
    <row r="367" spans="1:10" ht="23.1" customHeight="1">
      <c r="A367" s="1" t="str">
        <f>IF(ISNUMBER(Lançamentos!A367),Lançamentos!A367,"")</f>
        <v/>
      </c>
      <c r="B367" s="1" t="str">
        <f>IF(Lançamentos!B367="","",Lançamentos!B367)</f>
        <v/>
      </c>
      <c r="C367" s="12" t="str">
        <f>IF(ISNUMBER(Lançamentos!C367),Lançamentos!C367,"")</f>
        <v/>
      </c>
      <c r="D367" s="10" t="str">
        <f>IF(A367="","",SUM(Lançamentos!D$9:D367))</f>
        <v/>
      </c>
      <c r="E367" s="1"/>
      <c r="F367" s="11" t="str">
        <f>IF(A367="","",SUM(Lançamentos!F$9:F367))</f>
        <v/>
      </c>
      <c r="G367" s="11" t="str">
        <f>IF(A367="","",SUM(Lançamentos!G$9:G367))</f>
        <v/>
      </c>
      <c r="H367" s="11" t="str">
        <f>IF(A367="","",SUM(Lançamentos!H$9:H367))</f>
        <v/>
      </c>
      <c r="I367" s="12" t="str">
        <f>IF(A367="","",SUM(Lançamentos!C$9:C367))</f>
        <v/>
      </c>
      <c r="J367" s="13" t="str">
        <f>IF(Lançamentos!J367="","",Lançamentos!J367)</f>
        <v/>
      </c>
    </row>
    <row r="368" spans="1:10" ht="23.1" customHeight="1">
      <c r="A368" s="1" t="str">
        <f>IF(ISNUMBER(Lançamentos!A368),Lançamentos!A368,"")</f>
        <v/>
      </c>
      <c r="B368" s="1" t="str">
        <f>IF(Lançamentos!B368="","",Lançamentos!B368)</f>
        <v/>
      </c>
      <c r="C368" s="12" t="str">
        <f>IF(ISNUMBER(Lançamentos!C368),Lançamentos!C368,"")</f>
        <v/>
      </c>
      <c r="D368" s="10" t="str">
        <f>IF(A368="","",SUM(Lançamentos!D$9:D368))</f>
        <v/>
      </c>
      <c r="E368" s="1"/>
      <c r="F368" s="11" t="str">
        <f>IF(A368="","",SUM(Lançamentos!F$9:F368))</f>
        <v/>
      </c>
      <c r="G368" s="11" t="str">
        <f>IF(A368="","",SUM(Lançamentos!G$9:G368))</f>
        <v/>
      </c>
      <c r="H368" s="11" t="str">
        <f>IF(A368="","",SUM(Lançamentos!H$9:H368))</f>
        <v/>
      </c>
      <c r="I368" s="12" t="str">
        <f>IF(A368="","",SUM(Lançamentos!C$9:C368))</f>
        <v/>
      </c>
      <c r="J368" s="13" t="str">
        <f>IF(Lançamentos!J368="","",Lançamentos!J368)</f>
        <v/>
      </c>
    </row>
    <row r="369" spans="1:10" ht="23.1" customHeight="1">
      <c r="A369" s="1" t="str">
        <f>IF(ISNUMBER(Lançamentos!A369),Lançamentos!A369,"")</f>
        <v/>
      </c>
      <c r="B369" s="1" t="str">
        <f>IF(Lançamentos!B369="","",Lançamentos!B369)</f>
        <v/>
      </c>
      <c r="C369" s="12" t="str">
        <f>IF(ISNUMBER(Lançamentos!C369),Lançamentos!C369,"")</f>
        <v/>
      </c>
      <c r="D369" s="10" t="str">
        <f>IF(A369="","",SUM(Lançamentos!D$9:D369))</f>
        <v/>
      </c>
      <c r="E369" s="1"/>
      <c r="F369" s="11" t="str">
        <f>IF(A369="","",SUM(Lançamentos!F$9:F369))</f>
        <v/>
      </c>
      <c r="G369" s="11" t="str">
        <f>IF(A369="","",SUM(Lançamentos!G$9:G369))</f>
        <v/>
      </c>
      <c r="H369" s="11" t="str">
        <f>IF(A369="","",SUM(Lançamentos!H$9:H369))</f>
        <v/>
      </c>
      <c r="I369" s="12" t="str">
        <f>IF(A369="","",SUM(Lançamentos!C$9:C369))</f>
        <v/>
      </c>
      <c r="J369" s="13" t="str">
        <f>IF(Lançamentos!J369="","",Lançamentos!J369)</f>
        <v/>
      </c>
    </row>
    <row r="370" spans="1:10" ht="23.1" customHeight="1">
      <c r="A370" s="1" t="str">
        <f>IF(ISNUMBER(Lançamentos!A370),Lançamentos!A370,"")</f>
        <v/>
      </c>
      <c r="B370" s="1" t="str">
        <f>IF(Lançamentos!B370="","",Lançamentos!B370)</f>
        <v/>
      </c>
      <c r="C370" s="12" t="str">
        <f>IF(ISNUMBER(Lançamentos!C370),Lançamentos!C370,"")</f>
        <v/>
      </c>
      <c r="D370" s="10" t="str">
        <f>IF(A370="","",SUM(Lançamentos!D$9:D370))</f>
        <v/>
      </c>
      <c r="E370" s="1"/>
      <c r="F370" s="11" t="str">
        <f>IF(A370="","",SUM(Lançamentos!F$9:F370))</f>
        <v/>
      </c>
      <c r="G370" s="11" t="str">
        <f>IF(A370="","",SUM(Lançamentos!G$9:G370))</f>
        <v/>
      </c>
      <c r="H370" s="11" t="str">
        <f>IF(A370="","",SUM(Lançamentos!H$9:H370))</f>
        <v/>
      </c>
      <c r="I370" s="12" t="str">
        <f>IF(A370="","",SUM(Lançamentos!C$9:C370))</f>
        <v/>
      </c>
      <c r="J370" s="13" t="str">
        <f>IF(Lançamentos!J370="","",Lançamentos!J370)</f>
        <v/>
      </c>
    </row>
    <row r="371" spans="1:10" ht="23.1" customHeight="1">
      <c r="A371" s="1" t="str">
        <f>IF(ISNUMBER(Lançamentos!A371),Lançamentos!A371,"")</f>
        <v/>
      </c>
      <c r="B371" s="1" t="str">
        <f>IF(Lançamentos!B371="","",Lançamentos!B371)</f>
        <v/>
      </c>
      <c r="C371" s="12" t="str">
        <f>IF(ISNUMBER(Lançamentos!C371),Lançamentos!C371,"")</f>
        <v/>
      </c>
      <c r="D371" s="10" t="str">
        <f>IF(A371="","",SUM(Lançamentos!D$9:D371))</f>
        <v/>
      </c>
      <c r="E371" s="1"/>
      <c r="F371" s="11" t="str">
        <f>IF(A371="","",SUM(Lançamentos!F$9:F371))</f>
        <v/>
      </c>
      <c r="G371" s="11" t="str">
        <f>IF(A371="","",SUM(Lançamentos!G$9:G371))</f>
        <v/>
      </c>
      <c r="H371" s="11" t="str">
        <f>IF(A371="","",SUM(Lançamentos!H$9:H371))</f>
        <v/>
      </c>
      <c r="I371" s="12" t="str">
        <f>IF(A371="","",SUM(Lançamentos!C$9:C371))</f>
        <v/>
      </c>
      <c r="J371" s="13" t="str">
        <f>IF(Lançamentos!J371="","",Lançamentos!J371)</f>
        <v/>
      </c>
    </row>
    <row r="372" spans="1:10" ht="23.1" customHeight="1">
      <c r="A372" s="1" t="str">
        <f>IF(ISNUMBER(Lançamentos!A372),Lançamentos!A372,"")</f>
        <v/>
      </c>
      <c r="B372" s="1" t="str">
        <f>IF(Lançamentos!B372="","",Lançamentos!B372)</f>
        <v/>
      </c>
      <c r="C372" s="12" t="str">
        <f>IF(ISNUMBER(Lançamentos!C372),Lançamentos!C372,"")</f>
        <v/>
      </c>
      <c r="D372" s="10" t="str">
        <f>IF(A372="","",SUM(Lançamentos!D$9:D372))</f>
        <v/>
      </c>
      <c r="E372" s="1"/>
      <c r="F372" s="11" t="str">
        <f>IF(A372="","",SUM(Lançamentos!F$9:F372))</f>
        <v/>
      </c>
      <c r="G372" s="11" t="str">
        <f>IF(A372="","",SUM(Lançamentos!G$9:G372))</f>
        <v/>
      </c>
      <c r="H372" s="11" t="str">
        <f>IF(A372="","",SUM(Lançamentos!H$9:H372))</f>
        <v/>
      </c>
      <c r="I372" s="12" t="str">
        <f>IF(A372="","",SUM(Lançamentos!C$9:C372))</f>
        <v/>
      </c>
      <c r="J372" s="13" t="str">
        <f>IF(Lançamentos!J372="","",Lançamentos!J372)</f>
        <v/>
      </c>
    </row>
    <row r="373" spans="1:10" ht="23.1" customHeight="1">
      <c r="A373" s="1" t="str">
        <f>IF(ISNUMBER(Lançamentos!A373),Lançamentos!A373,"")</f>
        <v/>
      </c>
      <c r="B373" s="1" t="str">
        <f>IF(Lançamentos!B373="","",Lançamentos!B373)</f>
        <v/>
      </c>
      <c r="C373" s="12" t="str">
        <f>IF(ISNUMBER(Lançamentos!C373),Lançamentos!C373,"")</f>
        <v/>
      </c>
      <c r="D373" s="10" t="str">
        <f>IF(A373="","",SUM(Lançamentos!D$9:D373))</f>
        <v/>
      </c>
      <c r="E373" s="1"/>
      <c r="F373" s="11" t="str">
        <f>IF(A373="","",SUM(Lançamentos!F$9:F373))</f>
        <v/>
      </c>
      <c r="G373" s="11" t="str">
        <f>IF(A373="","",SUM(Lançamentos!G$9:G373))</f>
        <v/>
      </c>
      <c r="H373" s="11" t="str">
        <f>IF(A373="","",SUM(Lançamentos!H$9:H373))</f>
        <v/>
      </c>
      <c r="I373" s="12" t="str">
        <f>IF(A373="","",SUM(Lançamentos!C$9:C373))</f>
        <v/>
      </c>
      <c r="J373" s="13" t="str">
        <f>IF(Lançamentos!J373="","",Lançamentos!J373)</f>
        <v/>
      </c>
    </row>
    <row r="374" spans="1:10" ht="23.1" customHeight="1">
      <c r="A374" s="1" t="str">
        <f>IF(ISNUMBER(Lançamentos!A374),Lançamentos!A374,"")</f>
        <v/>
      </c>
      <c r="B374" s="1" t="str">
        <f>IF(Lançamentos!B374="","",Lançamentos!B374)</f>
        <v/>
      </c>
      <c r="C374" s="12" t="str">
        <f>IF(ISNUMBER(Lançamentos!C374),Lançamentos!C374,"")</f>
        <v/>
      </c>
      <c r="D374" s="10" t="str">
        <f>IF(A374="","",SUM(Lançamentos!D$9:D374))</f>
        <v/>
      </c>
      <c r="E374" s="1"/>
      <c r="F374" s="11" t="str">
        <f>IF(A374="","",SUM(Lançamentos!F$9:F374))</f>
        <v/>
      </c>
      <c r="G374" s="11" t="str">
        <f>IF(A374="","",SUM(Lançamentos!G$9:G374))</f>
        <v/>
      </c>
      <c r="H374" s="11" t="str">
        <f>IF(A374="","",SUM(Lançamentos!H$9:H374))</f>
        <v/>
      </c>
      <c r="I374" s="12" t="str">
        <f>IF(A374="","",SUM(Lançamentos!C$9:C374))</f>
        <v/>
      </c>
      <c r="J374" s="13" t="str">
        <f>IF(Lançamentos!J374="","",Lançamentos!J374)</f>
        <v/>
      </c>
    </row>
    <row r="375" spans="1:10" ht="23.1" customHeight="1">
      <c r="A375" s="1" t="str">
        <f>IF(ISNUMBER(Lançamentos!A375),Lançamentos!A375,"")</f>
        <v/>
      </c>
      <c r="B375" s="1" t="str">
        <f>IF(Lançamentos!B375="","",Lançamentos!B375)</f>
        <v/>
      </c>
      <c r="C375" s="12" t="str">
        <f>IF(ISNUMBER(Lançamentos!C375),Lançamentos!C375,"")</f>
        <v/>
      </c>
      <c r="D375" s="10" t="str">
        <f>IF(A375="","",SUM(Lançamentos!D$9:D375))</f>
        <v/>
      </c>
      <c r="E375" s="1"/>
      <c r="F375" s="11" t="str">
        <f>IF(A375="","",SUM(Lançamentos!F$9:F375))</f>
        <v/>
      </c>
      <c r="G375" s="11" t="str">
        <f>IF(A375="","",SUM(Lançamentos!G$9:G375))</f>
        <v/>
      </c>
      <c r="H375" s="11" t="str">
        <f>IF(A375="","",SUM(Lançamentos!H$9:H375))</f>
        <v/>
      </c>
      <c r="I375" s="12" t="str">
        <f>IF(A375="","",SUM(Lançamentos!C$9:C375))</f>
        <v/>
      </c>
      <c r="J375" s="13" t="str">
        <f>IF(Lançamentos!J375="","",Lançamentos!J375)</f>
        <v/>
      </c>
    </row>
    <row r="376" spans="1:10" ht="23.1" customHeight="1">
      <c r="A376" s="1" t="str">
        <f>IF(ISNUMBER(Lançamentos!A376),Lançamentos!A376,"")</f>
        <v/>
      </c>
      <c r="B376" s="1" t="str">
        <f>IF(Lançamentos!B376="","",Lançamentos!B376)</f>
        <v/>
      </c>
      <c r="C376" s="12" t="str">
        <f>IF(ISNUMBER(Lançamentos!C376),Lançamentos!C376,"")</f>
        <v/>
      </c>
      <c r="D376" s="10" t="str">
        <f>IF(A376="","",SUM(Lançamentos!D$9:D376))</f>
        <v/>
      </c>
      <c r="E376" s="1"/>
      <c r="F376" s="11" t="str">
        <f>IF(A376="","",SUM(Lançamentos!F$9:F376))</f>
        <v/>
      </c>
      <c r="G376" s="11" t="str">
        <f>IF(A376="","",SUM(Lançamentos!G$9:G376))</f>
        <v/>
      </c>
      <c r="H376" s="11" t="str">
        <f>IF(A376="","",SUM(Lançamentos!H$9:H376))</f>
        <v/>
      </c>
      <c r="I376" s="12" t="str">
        <f>IF(A376="","",SUM(Lançamentos!C$9:C376))</f>
        <v/>
      </c>
      <c r="J376" s="13" t="str">
        <f>IF(Lançamentos!J376="","",Lançamentos!J376)</f>
        <v/>
      </c>
    </row>
    <row r="377" spans="1:10" ht="23.1" customHeight="1">
      <c r="A377" s="1" t="str">
        <f>IF(ISNUMBER(Lançamentos!A377),Lançamentos!A377,"")</f>
        <v/>
      </c>
      <c r="B377" s="1" t="str">
        <f>IF(Lançamentos!B377="","",Lançamentos!B377)</f>
        <v/>
      </c>
      <c r="C377" s="12" t="str">
        <f>IF(ISNUMBER(Lançamentos!C377),Lançamentos!C377,"")</f>
        <v/>
      </c>
      <c r="D377" s="10" t="str">
        <f>IF(A377="","",SUM(Lançamentos!D$9:D377))</f>
        <v/>
      </c>
      <c r="E377" s="1"/>
      <c r="F377" s="11" t="str">
        <f>IF(A377="","",SUM(Lançamentos!F$9:F377))</f>
        <v/>
      </c>
      <c r="G377" s="11" t="str">
        <f>IF(A377="","",SUM(Lançamentos!G$9:G377))</f>
        <v/>
      </c>
      <c r="H377" s="11" t="str">
        <f>IF(A377="","",SUM(Lançamentos!H$9:H377))</f>
        <v/>
      </c>
      <c r="I377" s="12" t="str">
        <f>IF(A377="","",SUM(Lançamentos!C$9:C377))</f>
        <v/>
      </c>
      <c r="J377" s="13" t="str">
        <f>IF(Lançamentos!J377="","",Lançamentos!J377)</f>
        <v/>
      </c>
    </row>
    <row r="378" spans="1:10" ht="23.1" customHeight="1">
      <c r="A378" s="1" t="str">
        <f>IF(ISNUMBER(Lançamentos!A378),Lançamentos!A378,"")</f>
        <v/>
      </c>
      <c r="B378" s="1" t="str">
        <f>IF(Lançamentos!B378="","",Lançamentos!B378)</f>
        <v/>
      </c>
      <c r="C378" s="12" t="str">
        <f>IF(ISNUMBER(Lançamentos!C378),Lançamentos!C378,"")</f>
        <v/>
      </c>
      <c r="D378" s="10" t="str">
        <f>IF(A378="","",SUM(Lançamentos!D$9:D378))</f>
        <v/>
      </c>
      <c r="E378" s="1"/>
      <c r="F378" s="11" t="str">
        <f>IF(A378="","",SUM(Lançamentos!F$9:F378))</f>
        <v/>
      </c>
      <c r="G378" s="11" t="str">
        <f>IF(A378="","",SUM(Lançamentos!G$9:G378))</f>
        <v/>
      </c>
      <c r="H378" s="11" t="str">
        <f>IF(A378="","",SUM(Lançamentos!H$9:H378))</f>
        <v/>
      </c>
      <c r="I378" s="12" t="str">
        <f>IF(A378="","",SUM(Lançamentos!C$9:C378))</f>
        <v/>
      </c>
      <c r="J378" s="13" t="str">
        <f>IF(Lançamentos!J378="","",Lançamentos!J378)</f>
        <v/>
      </c>
    </row>
    <row r="379" spans="1:10" ht="23.1" customHeight="1">
      <c r="A379" s="1" t="str">
        <f>IF(ISNUMBER(Lançamentos!A379),Lançamentos!A379,"")</f>
        <v/>
      </c>
      <c r="B379" s="1" t="str">
        <f>IF(Lançamentos!B379="","",Lançamentos!B379)</f>
        <v/>
      </c>
      <c r="C379" s="12" t="str">
        <f>IF(ISNUMBER(Lançamentos!C379),Lançamentos!C379,"")</f>
        <v/>
      </c>
      <c r="D379" s="10" t="str">
        <f>IF(A379="","",SUM(Lançamentos!D$9:D379))</f>
        <v/>
      </c>
      <c r="E379" s="1"/>
      <c r="F379" s="11" t="str">
        <f>IF(A379="","",SUM(Lançamentos!F$9:F379))</f>
        <v/>
      </c>
      <c r="G379" s="11" t="str">
        <f>IF(A379="","",SUM(Lançamentos!G$9:G379))</f>
        <v/>
      </c>
      <c r="H379" s="11" t="str">
        <f>IF(A379="","",SUM(Lançamentos!H$9:H379))</f>
        <v/>
      </c>
      <c r="I379" s="12" t="str">
        <f>IF(A379="","",SUM(Lançamentos!C$9:C379))</f>
        <v/>
      </c>
      <c r="J379" s="13" t="str">
        <f>IF(Lançamentos!J379="","",Lançamentos!J379)</f>
        <v/>
      </c>
    </row>
    <row r="380" spans="1:10" ht="23.1" customHeight="1">
      <c r="A380" s="1" t="str">
        <f>IF(ISNUMBER(Lançamentos!A380),Lançamentos!A380,"")</f>
        <v/>
      </c>
      <c r="B380" s="1" t="str">
        <f>IF(Lançamentos!B380="","",Lançamentos!B380)</f>
        <v/>
      </c>
      <c r="C380" s="12" t="str">
        <f>IF(ISNUMBER(Lançamentos!C380),Lançamentos!C380,"")</f>
        <v/>
      </c>
      <c r="D380" s="10" t="str">
        <f>IF(A380="","",SUM(Lançamentos!D$9:D380))</f>
        <v/>
      </c>
      <c r="E380" s="1"/>
      <c r="F380" s="11" t="str">
        <f>IF(A380="","",SUM(Lançamentos!F$9:F380))</f>
        <v/>
      </c>
      <c r="G380" s="11" t="str">
        <f>IF(A380="","",SUM(Lançamentos!G$9:G380))</f>
        <v/>
      </c>
      <c r="H380" s="11" t="str">
        <f>IF(A380="","",SUM(Lançamentos!H$9:H380))</f>
        <v/>
      </c>
      <c r="I380" s="12" t="str">
        <f>IF(A380="","",SUM(Lançamentos!C$9:C380))</f>
        <v/>
      </c>
      <c r="J380" s="13" t="str">
        <f>IF(Lançamentos!J380="","",Lançamentos!J380)</f>
        <v/>
      </c>
    </row>
    <row r="381" spans="1:10" ht="23.1" customHeight="1">
      <c r="A381" s="1" t="str">
        <f>IF(ISNUMBER(Lançamentos!A381),Lançamentos!A381,"")</f>
        <v/>
      </c>
      <c r="B381" s="1" t="str">
        <f>IF(Lançamentos!B381="","",Lançamentos!B381)</f>
        <v/>
      </c>
      <c r="C381" s="12" t="str">
        <f>IF(ISNUMBER(Lançamentos!C381),Lançamentos!C381,"")</f>
        <v/>
      </c>
      <c r="D381" s="10" t="str">
        <f>IF(A381="","",SUM(Lançamentos!D$9:D381))</f>
        <v/>
      </c>
      <c r="E381" s="1"/>
      <c r="F381" s="11" t="str">
        <f>IF(A381="","",SUM(Lançamentos!F$9:F381))</f>
        <v/>
      </c>
      <c r="G381" s="11" t="str">
        <f>IF(A381="","",SUM(Lançamentos!G$9:G381))</f>
        <v/>
      </c>
      <c r="H381" s="11" t="str">
        <f>IF(A381="","",SUM(Lançamentos!H$9:H381))</f>
        <v/>
      </c>
      <c r="I381" s="12" t="str">
        <f>IF(A381="","",SUM(Lançamentos!C$9:C381))</f>
        <v/>
      </c>
      <c r="J381" s="13" t="str">
        <f>IF(Lançamentos!J381="","",Lançamentos!J381)</f>
        <v/>
      </c>
    </row>
    <row r="382" spans="1:10" ht="23.1" customHeight="1">
      <c r="A382" s="1" t="str">
        <f>IF(ISNUMBER(Lançamentos!A382),Lançamentos!A382,"")</f>
        <v/>
      </c>
      <c r="B382" s="1" t="str">
        <f>IF(Lançamentos!B382="","",Lançamentos!B382)</f>
        <v/>
      </c>
      <c r="C382" s="12" t="str">
        <f>IF(ISNUMBER(Lançamentos!C382),Lançamentos!C382,"")</f>
        <v/>
      </c>
      <c r="D382" s="10" t="str">
        <f>IF(A382="","",SUM(Lançamentos!D$9:D382))</f>
        <v/>
      </c>
      <c r="E382" s="1"/>
      <c r="F382" s="11" t="str">
        <f>IF(A382="","",SUM(Lançamentos!F$9:F382))</f>
        <v/>
      </c>
      <c r="G382" s="11" t="str">
        <f>IF(A382="","",SUM(Lançamentos!G$9:G382))</f>
        <v/>
      </c>
      <c r="H382" s="11" t="str">
        <f>IF(A382="","",SUM(Lançamentos!H$9:H382))</f>
        <v/>
      </c>
      <c r="I382" s="12" t="str">
        <f>IF(A382="","",SUM(Lançamentos!C$9:C382))</f>
        <v/>
      </c>
      <c r="J382" s="13" t="str">
        <f>IF(Lançamentos!J382="","",Lançamentos!J382)</f>
        <v/>
      </c>
    </row>
    <row r="383" spans="1:10" ht="23.1" customHeight="1">
      <c r="A383" s="1" t="str">
        <f>IF(ISNUMBER(Lançamentos!A383),Lançamentos!A383,"")</f>
        <v/>
      </c>
      <c r="B383" s="1" t="str">
        <f>IF(Lançamentos!B383="","",Lançamentos!B383)</f>
        <v/>
      </c>
      <c r="C383" s="12" t="str">
        <f>IF(ISNUMBER(Lançamentos!C383),Lançamentos!C383,"")</f>
        <v/>
      </c>
      <c r="D383" s="10" t="str">
        <f>IF(A383="","",SUM(Lançamentos!D$9:D383))</f>
        <v/>
      </c>
      <c r="E383" s="1"/>
      <c r="F383" s="11" t="str">
        <f>IF(A383="","",SUM(Lançamentos!F$9:F383))</f>
        <v/>
      </c>
      <c r="G383" s="11" t="str">
        <f>IF(A383="","",SUM(Lançamentos!G$9:G383))</f>
        <v/>
      </c>
      <c r="H383" s="11" t="str">
        <f>IF(A383="","",SUM(Lançamentos!H$9:H383))</f>
        <v/>
      </c>
      <c r="I383" s="12" t="str">
        <f>IF(A383="","",SUM(Lançamentos!C$9:C383))</f>
        <v/>
      </c>
      <c r="J383" s="13" t="str">
        <f>IF(Lançamentos!J383="","",Lançamentos!J383)</f>
        <v/>
      </c>
    </row>
    <row r="384" spans="1:10" ht="23.1" customHeight="1">
      <c r="A384" s="1" t="str">
        <f>IF(ISNUMBER(Lançamentos!A384),Lançamentos!A384,"")</f>
        <v/>
      </c>
      <c r="B384" s="1" t="str">
        <f>IF(Lançamentos!B384="","",Lançamentos!B384)</f>
        <v/>
      </c>
      <c r="C384" s="12" t="str">
        <f>IF(ISNUMBER(Lançamentos!C384),Lançamentos!C384,"")</f>
        <v/>
      </c>
      <c r="D384" s="10" t="str">
        <f>IF(A384="","",SUM(Lançamentos!D$9:D384))</f>
        <v/>
      </c>
      <c r="E384" s="1"/>
      <c r="F384" s="11" t="str">
        <f>IF(A384="","",SUM(Lançamentos!F$9:F384))</f>
        <v/>
      </c>
      <c r="G384" s="11" t="str">
        <f>IF(A384="","",SUM(Lançamentos!G$9:G384))</f>
        <v/>
      </c>
      <c r="H384" s="11" t="str">
        <f>IF(A384="","",SUM(Lançamentos!H$9:H384))</f>
        <v/>
      </c>
      <c r="I384" s="12" t="str">
        <f>IF(A384="","",SUM(Lançamentos!C$9:C384))</f>
        <v/>
      </c>
      <c r="J384" s="13" t="str">
        <f>IF(Lançamentos!J384="","",Lançamentos!J384)</f>
        <v/>
      </c>
    </row>
    <row r="385" spans="1:10" ht="23.1" customHeight="1">
      <c r="A385" s="1" t="str">
        <f>IF(ISNUMBER(Lançamentos!A385),Lançamentos!A385,"")</f>
        <v/>
      </c>
      <c r="B385" s="1" t="str">
        <f>IF(Lançamentos!B385="","",Lançamentos!B385)</f>
        <v/>
      </c>
      <c r="C385" s="12" t="str">
        <f>IF(ISNUMBER(Lançamentos!C385),Lançamentos!C385,"")</f>
        <v/>
      </c>
      <c r="D385" s="10" t="str">
        <f>IF(A385="","",SUM(Lançamentos!D$9:D385))</f>
        <v/>
      </c>
      <c r="E385" s="1"/>
      <c r="F385" s="11" t="str">
        <f>IF(A385="","",SUM(Lançamentos!F$9:F385))</f>
        <v/>
      </c>
      <c r="G385" s="11" t="str">
        <f>IF(A385="","",SUM(Lançamentos!G$9:G385))</f>
        <v/>
      </c>
      <c r="H385" s="11" t="str">
        <f>IF(A385="","",SUM(Lançamentos!H$9:H385))</f>
        <v/>
      </c>
      <c r="I385" s="12" t="str">
        <f>IF(A385="","",SUM(Lançamentos!C$9:C385))</f>
        <v/>
      </c>
      <c r="J385" s="13" t="str">
        <f>IF(Lançamentos!J385="","",Lançamentos!J385)</f>
        <v/>
      </c>
    </row>
    <row r="386" spans="1:10" ht="23.1" customHeight="1">
      <c r="A386" s="1" t="str">
        <f>IF(ISNUMBER(Lançamentos!A386),Lançamentos!A386,"")</f>
        <v/>
      </c>
      <c r="B386" s="1" t="str">
        <f>IF(Lançamentos!B386="","",Lançamentos!B386)</f>
        <v/>
      </c>
      <c r="C386" s="12" t="str">
        <f>IF(ISNUMBER(Lançamentos!C386),Lançamentos!C386,"")</f>
        <v/>
      </c>
      <c r="D386" s="10" t="str">
        <f>IF(A386="","",SUM(Lançamentos!D$9:D386))</f>
        <v/>
      </c>
      <c r="E386" s="1"/>
      <c r="F386" s="11" t="str">
        <f>IF(A386="","",SUM(Lançamentos!F$9:F386))</f>
        <v/>
      </c>
      <c r="G386" s="11" t="str">
        <f>IF(A386="","",SUM(Lançamentos!G$9:G386))</f>
        <v/>
      </c>
      <c r="H386" s="11" t="str">
        <f>IF(A386="","",SUM(Lançamentos!H$9:H386))</f>
        <v/>
      </c>
      <c r="I386" s="12" t="str">
        <f>IF(A386="","",SUM(Lançamentos!C$9:C386))</f>
        <v/>
      </c>
      <c r="J386" s="13" t="str">
        <f>IF(Lançamentos!J386="","",Lançamentos!J386)</f>
        <v/>
      </c>
    </row>
    <row r="387" spans="1:10" ht="23.1" customHeight="1">
      <c r="A387" s="1" t="str">
        <f>IF(ISNUMBER(Lançamentos!A387),Lançamentos!A387,"")</f>
        <v/>
      </c>
      <c r="B387" s="1" t="str">
        <f>IF(Lançamentos!B387="","",Lançamentos!B387)</f>
        <v/>
      </c>
      <c r="C387" s="12" t="str">
        <f>IF(ISNUMBER(Lançamentos!C387),Lançamentos!C387,"")</f>
        <v/>
      </c>
      <c r="D387" s="10" t="str">
        <f>IF(A387="","",SUM(Lançamentos!D$9:D387))</f>
        <v/>
      </c>
      <c r="E387" s="1"/>
      <c r="F387" s="11" t="str">
        <f>IF(A387="","",SUM(Lançamentos!F$9:F387))</f>
        <v/>
      </c>
      <c r="G387" s="11" t="str">
        <f>IF(A387="","",SUM(Lançamentos!G$9:G387))</f>
        <v/>
      </c>
      <c r="H387" s="11" t="str">
        <f>IF(A387="","",SUM(Lançamentos!H$9:H387))</f>
        <v/>
      </c>
      <c r="I387" s="12" t="str">
        <f>IF(A387="","",SUM(Lançamentos!C$9:C387))</f>
        <v/>
      </c>
      <c r="J387" s="13" t="str">
        <f>IF(Lançamentos!J387="","",Lançamentos!J387)</f>
        <v/>
      </c>
    </row>
    <row r="388" spans="1:10" ht="23.1" customHeight="1">
      <c r="A388" s="1" t="str">
        <f>IF(ISNUMBER(Lançamentos!A388),Lançamentos!A388,"")</f>
        <v/>
      </c>
      <c r="B388" s="1" t="str">
        <f>IF(Lançamentos!B388="","",Lançamentos!B388)</f>
        <v/>
      </c>
      <c r="C388" s="12" t="str">
        <f>IF(ISNUMBER(Lançamentos!C388),Lançamentos!C388,"")</f>
        <v/>
      </c>
      <c r="D388" s="10" t="str">
        <f>IF(A388="","",SUM(Lançamentos!D$9:D388))</f>
        <v/>
      </c>
      <c r="E388" s="1"/>
      <c r="F388" s="11" t="str">
        <f>IF(A388="","",SUM(Lançamentos!F$9:F388))</f>
        <v/>
      </c>
      <c r="G388" s="11" t="str">
        <f>IF(A388="","",SUM(Lançamentos!G$9:G388))</f>
        <v/>
      </c>
      <c r="H388" s="11" t="str">
        <f>IF(A388="","",SUM(Lançamentos!H$9:H388))</f>
        <v/>
      </c>
      <c r="I388" s="12" t="str">
        <f>IF(A388="","",SUM(Lançamentos!C$9:C388))</f>
        <v/>
      </c>
      <c r="J388" s="13" t="str">
        <f>IF(Lançamentos!J388="","",Lançamentos!J388)</f>
        <v/>
      </c>
    </row>
    <row r="389" spans="1:10" ht="23.1" customHeight="1">
      <c r="A389" s="1" t="str">
        <f>IF(ISNUMBER(Lançamentos!A389),Lançamentos!A389,"")</f>
        <v/>
      </c>
      <c r="B389" s="1" t="str">
        <f>IF(Lançamentos!B389="","",Lançamentos!B389)</f>
        <v/>
      </c>
      <c r="C389" s="12" t="str">
        <f>IF(ISNUMBER(Lançamentos!C389),Lançamentos!C389,"")</f>
        <v/>
      </c>
      <c r="D389" s="10" t="str">
        <f>IF(A389="","",SUM(Lançamentos!D$9:D389))</f>
        <v/>
      </c>
      <c r="E389" s="1"/>
      <c r="F389" s="11" t="str">
        <f>IF(A389="","",SUM(Lançamentos!F$9:F389))</f>
        <v/>
      </c>
      <c r="G389" s="11" t="str">
        <f>IF(A389="","",SUM(Lançamentos!G$9:G389))</f>
        <v/>
      </c>
      <c r="H389" s="11" t="str">
        <f>IF(A389="","",SUM(Lançamentos!H$9:H389))</f>
        <v/>
      </c>
      <c r="I389" s="12" t="str">
        <f>IF(A389="","",SUM(Lançamentos!C$9:C389))</f>
        <v/>
      </c>
      <c r="J389" s="13" t="str">
        <f>IF(Lançamentos!J389="","",Lançamentos!J389)</f>
        <v/>
      </c>
    </row>
    <row r="390" spans="1:10" ht="23.1" customHeight="1">
      <c r="A390" s="1" t="str">
        <f>IF(ISNUMBER(Lançamentos!A390),Lançamentos!A390,"")</f>
        <v/>
      </c>
      <c r="B390" s="1" t="str">
        <f>IF(Lançamentos!B390="","",Lançamentos!B390)</f>
        <v/>
      </c>
      <c r="C390" s="12" t="str">
        <f>IF(ISNUMBER(Lançamentos!C390),Lançamentos!C390,"")</f>
        <v/>
      </c>
      <c r="D390" s="10" t="str">
        <f>IF(A390="","",SUM(Lançamentos!D$9:D390))</f>
        <v/>
      </c>
      <c r="E390" s="1"/>
      <c r="F390" s="11" t="str">
        <f>IF(A390="","",SUM(Lançamentos!F$9:F390))</f>
        <v/>
      </c>
      <c r="G390" s="11" t="str">
        <f>IF(A390="","",SUM(Lançamentos!G$9:G390))</f>
        <v/>
      </c>
      <c r="H390" s="11" t="str">
        <f>IF(A390="","",SUM(Lançamentos!H$9:H390))</f>
        <v/>
      </c>
      <c r="I390" s="12" t="str">
        <f>IF(A390="","",SUM(Lançamentos!C$9:C390))</f>
        <v/>
      </c>
      <c r="J390" s="13" t="str">
        <f>IF(Lançamentos!J390="","",Lançamentos!J390)</f>
        <v/>
      </c>
    </row>
    <row r="391" spans="1:10" ht="23.1" customHeight="1">
      <c r="A391" s="1" t="str">
        <f>IF(ISNUMBER(Lançamentos!A391),Lançamentos!A391,"")</f>
        <v/>
      </c>
      <c r="B391" s="1" t="str">
        <f>IF(Lançamentos!B391="","",Lançamentos!B391)</f>
        <v/>
      </c>
      <c r="C391" s="12" t="str">
        <f>IF(ISNUMBER(Lançamentos!C391),Lançamentos!C391,"")</f>
        <v/>
      </c>
      <c r="D391" s="10" t="str">
        <f>IF(A391="","",SUM(Lançamentos!D$9:D391))</f>
        <v/>
      </c>
      <c r="E391" s="1"/>
      <c r="F391" s="11" t="str">
        <f>IF(A391="","",SUM(Lançamentos!F$9:F391))</f>
        <v/>
      </c>
      <c r="G391" s="11" t="str">
        <f>IF(A391="","",SUM(Lançamentos!G$9:G391))</f>
        <v/>
      </c>
      <c r="H391" s="11" t="str">
        <f>IF(A391="","",SUM(Lançamentos!H$9:H391))</f>
        <v/>
      </c>
      <c r="I391" s="12" t="str">
        <f>IF(A391="","",SUM(Lançamentos!C$9:C391))</f>
        <v/>
      </c>
      <c r="J391" s="13" t="str">
        <f>IF(Lançamentos!J391="","",Lançamentos!J391)</f>
        <v/>
      </c>
    </row>
    <row r="392" spans="1:10" ht="23.1" customHeight="1">
      <c r="A392" s="1" t="str">
        <f>IF(ISNUMBER(Lançamentos!A392),Lançamentos!A392,"")</f>
        <v/>
      </c>
      <c r="B392" s="1" t="str">
        <f>IF(Lançamentos!B392="","",Lançamentos!B392)</f>
        <v/>
      </c>
      <c r="C392" s="12" t="str">
        <f>IF(ISNUMBER(Lançamentos!C392),Lançamentos!C392,"")</f>
        <v/>
      </c>
      <c r="D392" s="10" t="str">
        <f>IF(A392="","",SUM(Lançamentos!D$9:D392))</f>
        <v/>
      </c>
      <c r="E392" s="1"/>
      <c r="F392" s="11" t="str">
        <f>IF(A392="","",SUM(Lançamentos!F$9:F392))</f>
        <v/>
      </c>
      <c r="G392" s="11" t="str">
        <f>IF(A392="","",SUM(Lançamentos!G$9:G392))</f>
        <v/>
      </c>
      <c r="H392" s="11" t="str">
        <f>IF(A392="","",SUM(Lançamentos!H$9:H392))</f>
        <v/>
      </c>
      <c r="I392" s="12" t="str">
        <f>IF(A392="","",SUM(Lançamentos!C$9:C392))</f>
        <v/>
      </c>
      <c r="J392" s="13" t="str">
        <f>IF(Lançamentos!J392="","",Lançamentos!J392)</f>
        <v/>
      </c>
    </row>
    <row r="393" spans="1:10" ht="23.1" customHeight="1">
      <c r="A393" s="1" t="str">
        <f>IF(ISNUMBER(Lançamentos!A393),Lançamentos!A393,"")</f>
        <v/>
      </c>
      <c r="B393" s="1" t="str">
        <f>IF(Lançamentos!B393="","",Lançamentos!B393)</f>
        <v/>
      </c>
      <c r="C393" s="12" t="str">
        <f>IF(ISNUMBER(Lançamentos!C393),Lançamentos!C393,"")</f>
        <v/>
      </c>
      <c r="D393" s="10" t="str">
        <f>IF(A393="","",SUM(Lançamentos!D$9:D393))</f>
        <v/>
      </c>
      <c r="E393" s="1"/>
      <c r="F393" s="11" t="str">
        <f>IF(A393="","",SUM(Lançamentos!F$9:F393))</f>
        <v/>
      </c>
      <c r="G393" s="11" t="str">
        <f>IF(A393="","",SUM(Lançamentos!G$9:G393))</f>
        <v/>
      </c>
      <c r="H393" s="11" t="str">
        <f>IF(A393="","",SUM(Lançamentos!H$9:H393))</f>
        <v/>
      </c>
      <c r="I393" s="12" t="str">
        <f>IF(A393="","",SUM(Lançamentos!C$9:C393))</f>
        <v/>
      </c>
      <c r="J393" s="13" t="str">
        <f>IF(Lançamentos!J393="","",Lançamentos!J393)</f>
        <v/>
      </c>
    </row>
    <row r="394" spans="1:10" ht="23.1" customHeight="1">
      <c r="A394" s="1" t="str">
        <f>IF(ISNUMBER(Lançamentos!A394),Lançamentos!A394,"")</f>
        <v/>
      </c>
      <c r="B394" s="1" t="str">
        <f>IF(Lançamentos!B394="","",Lançamentos!B394)</f>
        <v/>
      </c>
      <c r="C394" s="12" t="str">
        <f>IF(ISNUMBER(Lançamentos!C394),Lançamentos!C394,"")</f>
        <v/>
      </c>
      <c r="D394" s="10" t="str">
        <f>IF(A394="","",SUM(Lançamentos!D$9:D394))</f>
        <v/>
      </c>
      <c r="E394" s="1"/>
      <c r="F394" s="11" t="str">
        <f>IF(A394="","",SUM(Lançamentos!F$9:F394))</f>
        <v/>
      </c>
      <c r="G394" s="11" t="str">
        <f>IF(A394="","",SUM(Lançamentos!G$9:G394))</f>
        <v/>
      </c>
      <c r="H394" s="11" t="str">
        <f>IF(A394="","",SUM(Lançamentos!H$9:H394))</f>
        <v/>
      </c>
      <c r="I394" s="12" t="str">
        <f>IF(A394="","",SUM(Lançamentos!C$9:C394))</f>
        <v/>
      </c>
      <c r="J394" s="13" t="str">
        <f>IF(Lançamentos!J394="","",Lançamentos!J394)</f>
        <v/>
      </c>
    </row>
    <row r="395" spans="1:10" ht="23.1" customHeight="1">
      <c r="A395" s="1" t="str">
        <f>IF(ISNUMBER(Lançamentos!A395),Lançamentos!A395,"")</f>
        <v/>
      </c>
      <c r="B395" s="1" t="str">
        <f>IF(Lançamentos!B395="","",Lançamentos!B395)</f>
        <v/>
      </c>
      <c r="C395" s="12" t="str">
        <f>IF(ISNUMBER(Lançamentos!C395),Lançamentos!C395,"")</f>
        <v/>
      </c>
      <c r="D395" s="10" t="str">
        <f>IF(A395="","",SUM(Lançamentos!D$9:D395))</f>
        <v/>
      </c>
      <c r="E395" s="1"/>
      <c r="F395" s="11" t="str">
        <f>IF(A395="","",SUM(Lançamentos!F$9:F395))</f>
        <v/>
      </c>
      <c r="G395" s="11" t="str">
        <f>IF(A395="","",SUM(Lançamentos!G$9:G395))</f>
        <v/>
      </c>
      <c r="H395" s="11" t="str">
        <f>IF(A395="","",SUM(Lançamentos!H$9:H395))</f>
        <v/>
      </c>
      <c r="I395" s="12" t="str">
        <f>IF(A395="","",SUM(Lançamentos!C$9:C395))</f>
        <v/>
      </c>
      <c r="J395" s="13" t="str">
        <f>IF(Lançamentos!J395="","",Lançamentos!J395)</f>
        <v/>
      </c>
    </row>
    <row r="396" spans="1:10" ht="23.1" customHeight="1">
      <c r="A396" s="1" t="str">
        <f>IF(ISNUMBER(Lançamentos!A396),Lançamentos!A396,"")</f>
        <v/>
      </c>
      <c r="B396" s="1" t="str">
        <f>IF(Lançamentos!B396="","",Lançamentos!B396)</f>
        <v/>
      </c>
      <c r="C396" s="12" t="str">
        <f>IF(ISNUMBER(Lançamentos!C396),Lançamentos!C396,"")</f>
        <v/>
      </c>
      <c r="D396" s="10" t="str">
        <f>IF(A396="","",SUM(Lançamentos!D$9:D396))</f>
        <v/>
      </c>
      <c r="E396" s="1"/>
      <c r="F396" s="11" t="str">
        <f>IF(A396="","",SUM(Lançamentos!F$9:F396))</f>
        <v/>
      </c>
      <c r="G396" s="11" t="str">
        <f>IF(A396="","",SUM(Lançamentos!G$9:G396))</f>
        <v/>
      </c>
      <c r="H396" s="11" t="str">
        <f>IF(A396="","",SUM(Lançamentos!H$9:H396))</f>
        <v/>
      </c>
      <c r="I396" s="12" t="str">
        <f>IF(A396="","",SUM(Lançamentos!C$9:C396))</f>
        <v/>
      </c>
      <c r="J396" s="13" t="str">
        <f>IF(Lançamentos!J396="","",Lançamentos!J396)</f>
        <v/>
      </c>
    </row>
    <row r="397" spans="1:10" ht="23.1" customHeight="1">
      <c r="A397" s="1" t="str">
        <f>IF(ISNUMBER(Lançamentos!A397),Lançamentos!A397,"")</f>
        <v/>
      </c>
      <c r="B397" s="1" t="str">
        <f>IF(Lançamentos!B397="","",Lançamentos!B397)</f>
        <v/>
      </c>
      <c r="C397" s="12" t="str">
        <f>IF(ISNUMBER(Lançamentos!C397),Lançamentos!C397,"")</f>
        <v/>
      </c>
      <c r="D397" s="10" t="str">
        <f>IF(A397="","",SUM(Lançamentos!D$9:D397))</f>
        <v/>
      </c>
      <c r="E397" s="1"/>
      <c r="F397" s="11" t="str">
        <f>IF(A397="","",SUM(Lançamentos!F$9:F397))</f>
        <v/>
      </c>
      <c r="G397" s="11" t="str">
        <f>IF(A397="","",SUM(Lançamentos!G$9:G397))</f>
        <v/>
      </c>
      <c r="H397" s="11" t="str">
        <f>IF(A397="","",SUM(Lançamentos!H$9:H397))</f>
        <v/>
      </c>
      <c r="I397" s="12" t="str">
        <f>IF(A397="","",SUM(Lançamentos!C$9:C397))</f>
        <v/>
      </c>
      <c r="J397" s="13" t="str">
        <f>IF(Lançamentos!J397="","",Lançamentos!J397)</f>
        <v/>
      </c>
    </row>
    <row r="398" spans="1:10" ht="23.1" customHeight="1">
      <c r="A398" s="1" t="str">
        <f>IF(ISNUMBER(Lançamentos!A398),Lançamentos!A398,"")</f>
        <v/>
      </c>
      <c r="B398" s="1" t="str">
        <f>IF(Lançamentos!B398="","",Lançamentos!B398)</f>
        <v/>
      </c>
      <c r="C398" s="12" t="str">
        <f>IF(ISNUMBER(Lançamentos!C398),Lançamentos!C398,"")</f>
        <v/>
      </c>
      <c r="D398" s="10" t="str">
        <f>IF(A398="","",SUM(Lançamentos!D$9:D398))</f>
        <v/>
      </c>
      <c r="E398" s="1"/>
      <c r="F398" s="11" t="str">
        <f>IF(A398="","",SUM(Lançamentos!F$9:F398))</f>
        <v/>
      </c>
      <c r="G398" s="11" t="str">
        <f>IF(A398="","",SUM(Lançamentos!G$9:G398))</f>
        <v/>
      </c>
      <c r="H398" s="11" t="str">
        <f>IF(A398="","",SUM(Lançamentos!H$9:H398))</f>
        <v/>
      </c>
      <c r="I398" s="12" t="str">
        <f>IF(A398="","",SUM(Lançamentos!C$9:C398))</f>
        <v/>
      </c>
      <c r="J398" s="13" t="str">
        <f>IF(Lançamentos!J398="","",Lançamentos!J398)</f>
        <v/>
      </c>
    </row>
    <row r="399" spans="1:10" ht="23.1" customHeight="1">
      <c r="A399" s="1" t="str">
        <f>IF(ISNUMBER(Lançamentos!A399),Lançamentos!A399,"")</f>
        <v/>
      </c>
      <c r="B399" s="1" t="str">
        <f>IF(Lançamentos!B399="","",Lançamentos!B399)</f>
        <v/>
      </c>
      <c r="C399" s="12" t="str">
        <f>IF(ISNUMBER(Lançamentos!C399),Lançamentos!C399,"")</f>
        <v/>
      </c>
      <c r="D399" s="10" t="str">
        <f>IF(A399="","",SUM(Lançamentos!D$9:D399))</f>
        <v/>
      </c>
      <c r="E399" s="1"/>
      <c r="F399" s="11" t="str">
        <f>IF(A399="","",SUM(Lançamentos!F$9:F399))</f>
        <v/>
      </c>
      <c r="G399" s="11" t="str">
        <f>IF(A399="","",SUM(Lançamentos!G$9:G399))</f>
        <v/>
      </c>
      <c r="H399" s="11" t="str">
        <f>IF(A399="","",SUM(Lançamentos!H$9:H399))</f>
        <v/>
      </c>
      <c r="I399" s="12" t="str">
        <f>IF(A399="","",SUM(Lançamentos!C$9:C399))</f>
        <v/>
      </c>
      <c r="J399" s="13" t="str">
        <f>IF(Lançamentos!J399="","",Lançamentos!J399)</f>
        <v/>
      </c>
    </row>
    <row r="400" spans="1:10" ht="23.1" customHeight="1">
      <c r="A400" s="1" t="str">
        <f>IF(ISNUMBER(Lançamentos!A400),Lançamentos!A400,"")</f>
        <v/>
      </c>
      <c r="B400" s="1" t="str">
        <f>IF(Lançamentos!B400="","",Lançamentos!B400)</f>
        <v/>
      </c>
      <c r="C400" s="12" t="str">
        <f>IF(ISNUMBER(Lançamentos!C400),Lançamentos!C400,"")</f>
        <v/>
      </c>
      <c r="D400" s="10" t="str">
        <f>IF(A400="","",SUM(Lançamentos!D$9:D400))</f>
        <v/>
      </c>
      <c r="E400" s="1"/>
      <c r="F400" s="11" t="str">
        <f>IF(A400="","",SUM(Lançamentos!F$9:F400))</f>
        <v/>
      </c>
      <c r="G400" s="11" t="str">
        <f>IF(A400="","",SUM(Lançamentos!G$9:G400))</f>
        <v/>
      </c>
      <c r="H400" s="11" t="str">
        <f>IF(A400="","",SUM(Lançamentos!H$9:H400))</f>
        <v/>
      </c>
      <c r="I400" s="12" t="str">
        <f>IF(A400="","",SUM(Lançamentos!C$9:C400))</f>
        <v/>
      </c>
      <c r="J400" s="13" t="str">
        <f>IF(Lançamentos!J400="","",Lançamentos!J400)</f>
        <v/>
      </c>
    </row>
    <row r="401" spans="1:10" ht="23.1" customHeight="1">
      <c r="A401" s="1" t="str">
        <f>IF(ISNUMBER(Lançamentos!A401),Lançamentos!A401,"")</f>
        <v/>
      </c>
      <c r="B401" s="1" t="str">
        <f>IF(Lançamentos!B401="","",Lançamentos!B401)</f>
        <v/>
      </c>
      <c r="C401" s="12" t="str">
        <f>IF(ISNUMBER(Lançamentos!C401),Lançamentos!C401,"")</f>
        <v/>
      </c>
      <c r="D401" s="10" t="str">
        <f>IF(A401="","",SUM(Lançamentos!D$9:D401))</f>
        <v/>
      </c>
      <c r="E401" s="1"/>
      <c r="F401" s="11" t="str">
        <f>IF(A401="","",SUM(Lançamentos!F$9:F401))</f>
        <v/>
      </c>
      <c r="G401" s="11" t="str">
        <f>IF(A401="","",SUM(Lançamentos!G$9:G401))</f>
        <v/>
      </c>
      <c r="H401" s="11" t="str">
        <f>IF(A401="","",SUM(Lançamentos!H$9:H401))</f>
        <v/>
      </c>
      <c r="I401" s="12" t="str">
        <f>IF(A401="","",SUM(Lançamentos!C$9:C401))</f>
        <v/>
      </c>
      <c r="J401" s="13" t="str">
        <f>IF(Lançamentos!J401="","",Lançamentos!J401)</f>
        <v/>
      </c>
    </row>
    <row r="402" spans="1:10" ht="23.1" customHeight="1">
      <c r="A402" s="1" t="str">
        <f>IF(ISNUMBER(Lançamentos!A402),Lançamentos!A402,"")</f>
        <v/>
      </c>
      <c r="B402" s="1" t="str">
        <f>IF(Lançamentos!B402="","",Lançamentos!B402)</f>
        <v/>
      </c>
      <c r="C402" s="12" t="str">
        <f>IF(ISNUMBER(Lançamentos!C402),Lançamentos!C402,"")</f>
        <v/>
      </c>
      <c r="D402" s="10" t="str">
        <f>IF(A402="","",SUM(Lançamentos!D$9:D402))</f>
        <v/>
      </c>
      <c r="E402" s="1"/>
      <c r="F402" s="11" t="str">
        <f>IF(A402="","",SUM(Lançamentos!F$9:F402))</f>
        <v/>
      </c>
      <c r="G402" s="11" t="str">
        <f>IF(A402="","",SUM(Lançamentos!G$9:G402))</f>
        <v/>
      </c>
      <c r="H402" s="11" t="str">
        <f>IF(A402="","",SUM(Lançamentos!H$9:H402))</f>
        <v/>
      </c>
      <c r="I402" s="12" t="str">
        <f>IF(A402="","",SUM(Lançamentos!C$9:C402))</f>
        <v/>
      </c>
      <c r="J402" s="13" t="str">
        <f>IF(Lançamentos!J402="","",Lançamentos!J402)</f>
        <v/>
      </c>
    </row>
    <row r="403" spans="1:10" ht="23.1" customHeight="1">
      <c r="A403" s="1" t="str">
        <f>IF(ISNUMBER(Lançamentos!A403),Lançamentos!A403,"")</f>
        <v/>
      </c>
      <c r="B403" s="1" t="str">
        <f>IF(Lançamentos!B403="","",Lançamentos!B403)</f>
        <v/>
      </c>
      <c r="C403" s="12" t="str">
        <f>IF(ISNUMBER(Lançamentos!C403),Lançamentos!C403,"")</f>
        <v/>
      </c>
      <c r="D403" s="10" t="str">
        <f>IF(A403="","",SUM(Lançamentos!D$9:D403))</f>
        <v/>
      </c>
      <c r="E403" s="1"/>
      <c r="F403" s="11" t="str">
        <f>IF(A403="","",SUM(Lançamentos!F$9:F403))</f>
        <v/>
      </c>
      <c r="G403" s="11" t="str">
        <f>IF(A403="","",SUM(Lançamentos!G$9:G403))</f>
        <v/>
      </c>
      <c r="H403" s="11" t="str">
        <f>IF(A403="","",SUM(Lançamentos!H$9:H403))</f>
        <v/>
      </c>
      <c r="I403" s="12" t="str">
        <f>IF(A403="","",SUM(Lançamentos!C$9:C403))</f>
        <v/>
      </c>
      <c r="J403" s="13" t="str">
        <f>IF(Lançamentos!J403="","",Lançamentos!J403)</f>
        <v/>
      </c>
    </row>
    <row r="404" spans="1:10" ht="23.1" customHeight="1">
      <c r="A404" s="1" t="str">
        <f>IF(ISNUMBER(Lançamentos!A404),Lançamentos!A404,"")</f>
        <v/>
      </c>
      <c r="B404" s="1" t="str">
        <f>IF(Lançamentos!B404="","",Lançamentos!B404)</f>
        <v/>
      </c>
      <c r="C404" s="12" t="str">
        <f>IF(ISNUMBER(Lançamentos!C404),Lançamentos!C404,"")</f>
        <v/>
      </c>
      <c r="D404" s="10" t="str">
        <f>IF(A404="","",SUM(Lançamentos!D$9:D404))</f>
        <v/>
      </c>
      <c r="E404" s="1"/>
      <c r="F404" s="11" t="str">
        <f>IF(A404="","",SUM(Lançamentos!F$9:F404))</f>
        <v/>
      </c>
      <c r="G404" s="11" t="str">
        <f>IF(A404="","",SUM(Lançamentos!G$9:G404))</f>
        <v/>
      </c>
      <c r="H404" s="11" t="str">
        <f>IF(A404="","",SUM(Lançamentos!H$9:H404))</f>
        <v/>
      </c>
      <c r="I404" s="12" t="str">
        <f>IF(A404="","",SUM(Lançamentos!C$9:C404))</f>
        <v/>
      </c>
      <c r="J404" s="13" t="str">
        <f>IF(Lançamentos!J404="","",Lançamentos!J404)</f>
        <v/>
      </c>
    </row>
    <row r="405" spans="1:10" ht="23.1" customHeight="1">
      <c r="A405" s="1" t="str">
        <f>IF(ISNUMBER(Lançamentos!A405),Lançamentos!A405,"")</f>
        <v/>
      </c>
      <c r="B405" s="1" t="str">
        <f>IF(Lançamentos!B405="","",Lançamentos!B405)</f>
        <v/>
      </c>
      <c r="C405" s="12" t="str">
        <f>IF(ISNUMBER(Lançamentos!C405),Lançamentos!C405,"")</f>
        <v/>
      </c>
      <c r="D405" s="10" t="str">
        <f>IF(A405="","",SUM(Lançamentos!D$9:D405))</f>
        <v/>
      </c>
      <c r="E405" s="1"/>
      <c r="F405" s="11" t="str">
        <f>IF(A405="","",SUM(Lançamentos!F$9:F405))</f>
        <v/>
      </c>
      <c r="G405" s="11" t="str">
        <f>IF(A405="","",SUM(Lançamentos!G$9:G405))</f>
        <v/>
      </c>
      <c r="H405" s="11" t="str">
        <f>IF(A405="","",SUM(Lançamentos!H$9:H405))</f>
        <v/>
      </c>
      <c r="I405" s="12" t="str">
        <f>IF(A405="","",SUM(Lançamentos!C$9:C405))</f>
        <v/>
      </c>
      <c r="J405" s="13" t="str">
        <f>IF(Lançamentos!J405="","",Lançamentos!J405)</f>
        <v/>
      </c>
    </row>
    <row r="406" spans="1:10" ht="23.1" customHeight="1">
      <c r="A406" s="1" t="str">
        <f>IF(ISNUMBER(Lançamentos!A406),Lançamentos!A406,"")</f>
        <v/>
      </c>
      <c r="B406" s="1" t="str">
        <f>IF(Lançamentos!B406="","",Lançamentos!B406)</f>
        <v/>
      </c>
      <c r="C406" s="12" t="str">
        <f>IF(ISNUMBER(Lançamentos!C406),Lançamentos!C406,"")</f>
        <v/>
      </c>
      <c r="D406" s="10" t="str">
        <f>IF(A406="","",SUM(Lançamentos!D$9:D406))</f>
        <v/>
      </c>
      <c r="E406" s="1"/>
      <c r="F406" s="11" t="str">
        <f>IF(A406="","",SUM(Lançamentos!F$9:F406))</f>
        <v/>
      </c>
      <c r="G406" s="11" t="str">
        <f>IF(A406="","",SUM(Lançamentos!G$9:G406))</f>
        <v/>
      </c>
      <c r="H406" s="11" t="str">
        <f>IF(A406="","",SUM(Lançamentos!H$9:H406))</f>
        <v/>
      </c>
      <c r="I406" s="12" t="str">
        <f>IF(A406="","",SUM(Lançamentos!C$9:C406))</f>
        <v/>
      </c>
      <c r="J406" s="13" t="str">
        <f>IF(Lançamentos!J406="","",Lançamentos!J406)</f>
        <v/>
      </c>
    </row>
    <row r="407" spans="1:10" ht="23.1" customHeight="1">
      <c r="A407" s="1" t="str">
        <f>IF(ISNUMBER(Lançamentos!A407),Lançamentos!A407,"")</f>
        <v/>
      </c>
      <c r="B407" s="1" t="str">
        <f>IF(Lançamentos!B407="","",Lançamentos!B407)</f>
        <v/>
      </c>
      <c r="C407" s="12" t="str">
        <f>IF(ISNUMBER(Lançamentos!C407),Lançamentos!C407,"")</f>
        <v/>
      </c>
      <c r="D407" s="10" t="str">
        <f>IF(A407="","",SUM(Lançamentos!D$9:D407))</f>
        <v/>
      </c>
      <c r="E407" s="1"/>
      <c r="F407" s="11" t="str">
        <f>IF(A407="","",SUM(Lançamentos!F$9:F407))</f>
        <v/>
      </c>
      <c r="G407" s="11" t="str">
        <f>IF(A407="","",SUM(Lançamentos!G$9:G407))</f>
        <v/>
      </c>
      <c r="H407" s="11" t="str">
        <f>IF(A407="","",SUM(Lançamentos!H$9:H407))</f>
        <v/>
      </c>
      <c r="I407" s="12" t="str">
        <f>IF(A407="","",SUM(Lançamentos!C$9:C407))</f>
        <v/>
      </c>
      <c r="J407" s="13" t="str">
        <f>IF(Lançamentos!J407="","",Lançamentos!J407)</f>
        <v/>
      </c>
    </row>
    <row r="408" spans="1:10" ht="23.1" customHeight="1">
      <c r="A408" s="1" t="str">
        <f>IF(ISNUMBER(Lançamentos!A408),Lançamentos!A408,"")</f>
        <v/>
      </c>
      <c r="B408" s="1" t="str">
        <f>IF(Lançamentos!B408="","",Lançamentos!B408)</f>
        <v/>
      </c>
      <c r="C408" s="12" t="str">
        <f>IF(ISNUMBER(Lançamentos!C408),Lançamentos!C408,"")</f>
        <v/>
      </c>
      <c r="D408" s="10" t="str">
        <f>IF(A408="","",SUM(Lançamentos!D$9:D408))</f>
        <v/>
      </c>
      <c r="E408" s="1"/>
      <c r="F408" s="11" t="str">
        <f>IF(A408="","",SUM(Lançamentos!F$9:F408))</f>
        <v/>
      </c>
      <c r="G408" s="11" t="str">
        <f>IF(A408="","",SUM(Lançamentos!G$9:G408))</f>
        <v/>
      </c>
      <c r="H408" s="11" t="str">
        <f>IF(A408="","",SUM(Lançamentos!H$9:H408))</f>
        <v/>
      </c>
      <c r="I408" s="12" t="str">
        <f>IF(A408="","",SUM(Lançamentos!C$9:C408))</f>
        <v/>
      </c>
      <c r="J408" s="13" t="str">
        <f>IF(Lançamentos!J408="","",Lançamentos!J408)</f>
        <v/>
      </c>
    </row>
    <row r="409" spans="1:10" ht="23.1" customHeight="1">
      <c r="A409" s="1" t="str">
        <f>IF(ISNUMBER(Lançamentos!A409),Lançamentos!A409,"")</f>
        <v/>
      </c>
      <c r="B409" s="1" t="str">
        <f>IF(Lançamentos!B409="","",Lançamentos!B409)</f>
        <v/>
      </c>
      <c r="C409" s="12" t="str">
        <f>IF(ISNUMBER(Lançamentos!C409),Lançamentos!C409,"")</f>
        <v/>
      </c>
      <c r="D409" s="10" t="str">
        <f>IF(A409="","",SUM(Lançamentos!D$9:D409))</f>
        <v/>
      </c>
      <c r="E409" s="1"/>
      <c r="F409" s="11" t="str">
        <f>IF(A409="","",SUM(Lançamentos!F$9:F409))</f>
        <v/>
      </c>
      <c r="G409" s="11" t="str">
        <f>IF(A409="","",SUM(Lançamentos!G$9:G409))</f>
        <v/>
      </c>
      <c r="H409" s="11" t="str">
        <f>IF(A409="","",SUM(Lançamentos!H$9:H409))</f>
        <v/>
      </c>
      <c r="I409" s="12" t="str">
        <f>IF(A409="","",SUM(Lançamentos!C$9:C409))</f>
        <v/>
      </c>
      <c r="J409" s="13" t="str">
        <f>IF(Lançamentos!J409="","",Lançamentos!J409)</f>
        <v/>
      </c>
    </row>
    <row r="410" spans="1:10" ht="23.1" customHeight="1">
      <c r="A410" s="1" t="str">
        <f>IF(ISNUMBER(Lançamentos!A410),Lançamentos!A410,"")</f>
        <v/>
      </c>
      <c r="B410" s="1" t="str">
        <f>IF(Lançamentos!B410="","",Lançamentos!B410)</f>
        <v/>
      </c>
      <c r="C410" s="12" t="str">
        <f>IF(ISNUMBER(Lançamentos!C410),Lançamentos!C410,"")</f>
        <v/>
      </c>
      <c r="D410" s="10" t="str">
        <f>IF(A410="","",SUM(Lançamentos!D$9:D410))</f>
        <v/>
      </c>
      <c r="E410" s="1"/>
      <c r="F410" s="11" t="str">
        <f>IF(A410="","",SUM(Lançamentos!F$9:F410))</f>
        <v/>
      </c>
      <c r="G410" s="11" t="str">
        <f>IF(A410="","",SUM(Lançamentos!G$9:G410))</f>
        <v/>
      </c>
      <c r="H410" s="11" t="str">
        <f>IF(A410="","",SUM(Lançamentos!H$9:H410))</f>
        <v/>
      </c>
      <c r="I410" s="12" t="str">
        <f>IF(A410="","",SUM(Lançamentos!C$9:C410))</f>
        <v/>
      </c>
      <c r="J410" s="13" t="str">
        <f>IF(Lançamentos!J410="","",Lançamentos!J410)</f>
        <v/>
      </c>
    </row>
    <row r="411" spans="1:10" ht="23.1" customHeight="1">
      <c r="A411" s="1" t="str">
        <f>IF(ISNUMBER(Lançamentos!A411),Lançamentos!A411,"")</f>
        <v/>
      </c>
      <c r="B411" s="1" t="str">
        <f>IF(Lançamentos!B411="","",Lançamentos!B411)</f>
        <v/>
      </c>
      <c r="C411" s="12" t="str">
        <f>IF(ISNUMBER(Lançamentos!C411),Lançamentos!C411,"")</f>
        <v/>
      </c>
      <c r="D411" s="10" t="str">
        <f>IF(A411="","",SUM(Lançamentos!D$9:D411))</f>
        <v/>
      </c>
      <c r="E411" s="1"/>
      <c r="F411" s="11" t="str">
        <f>IF(A411="","",SUM(Lançamentos!F$9:F411))</f>
        <v/>
      </c>
      <c r="G411" s="11" t="str">
        <f>IF(A411="","",SUM(Lançamentos!G$9:G411))</f>
        <v/>
      </c>
      <c r="H411" s="11" t="str">
        <f>IF(A411="","",SUM(Lançamentos!H$9:H411))</f>
        <v/>
      </c>
      <c r="I411" s="12" t="str">
        <f>IF(A411="","",SUM(Lançamentos!C$9:C411))</f>
        <v/>
      </c>
      <c r="J411" s="13" t="str">
        <f>IF(Lançamentos!J411="","",Lançamentos!J411)</f>
        <v/>
      </c>
    </row>
    <row r="412" spans="1:10" ht="23.1" customHeight="1">
      <c r="A412" s="1" t="str">
        <f>IF(ISNUMBER(Lançamentos!A412),Lançamentos!A412,"")</f>
        <v/>
      </c>
      <c r="B412" s="1" t="str">
        <f>IF(Lançamentos!B412="","",Lançamentos!B412)</f>
        <v/>
      </c>
      <c r="C412" s="12" t="str">
        <f>IF(ISNUMBER(Lançamentos!C412),Lançamentos!C412,"")</f>
        <v/>
      </c>
      <c r="D412" s="10" t="str">
        <f>IF(A412="","",SUM(Lançamentos!D$9:D412))</f>
        <v/>
      </c>
      <c r="E412" s="1"/>
      <c r="F412" s="11" t="str">
        <f>IF(A412="","",SUM(Lançamentos!F$9:F412))</f>
        <v/>
      </c>
      <c r="G412" s="11" t="str">
        <f>IF(A412="","",SUM(Lançamentos!G$9:G412))</f>
        <v/>
      </c>
      <c r="H412" s="11" t="str">
        <f>IF(A412="","",SUM(Lançamentos!H$9:H412))</f>
        <v/>
      </c>
      <c r="I412" s="12" t="str">
        <f>IF(A412="","",SUM(Lançamentos!C$9:C412))</f>
        <v/>
      </c>
      <c r="J412" s="13" t="str">
        <f>IF(Lançamentos!J412="","",Lançamentos!J412)</f>
        <v/>
      </c>
    </row>
    <row r="413" spans="1:10" ht="23.1" customHeight="1">
      <c r="A413" s="1" t="str">
        <f>IF(ISNUMBER(Lançamentos!A413),Lançamentos!A413,"")</f>
        <v/>
      </c>
      <c r="B413" s="1" t="str">
        <f>IF(Lançamentos!B413="","",Lançamentos!B413)</f>
        <v/>
      </c>
      <c r="C413" s="12" t="str">
        <f>IF(ISNUMBER(Lançamentos!C413),Lançamentos!C413,"")</f>
        <v/>
      </c>
      <c r="D413" s="10" t="str">
        <f>IF(A413="","",SUM(Lançamentos!D$9:D413))</f>
        <v/>
      </c>
      <c r="E413" s="1"/>
      <c r="F413" s="11" t="str">
        <f>IF(A413="","",SUM(Lançamentos!F$9:F413))</f>
        <v/>
      </c>
      <c r="G413" s="11" t="str">
        <f>IF(A413="","",SUM(Lançamentos!G$9:G413))</f>
        <v/>
      </c>
      <c r="H413" s="11" t="str">
        <f>IF(A413="","",SUM(Lançamentos!H$9:H413))</f>
        <v/>
      </c>
      <c r="I413" s="12" t="str">
        <f>IF(A413="","",SUM(Lançamentos!C$9:C413))</f>
        <v/>
      </c>
      <c r="J413" s="13" t="str">
        <f>IF(Lançamentos!J413="","",Lançamentos!J413)</f>
        <v/>
      </c>
    </row>
    <row r="414" spans="1:10" ht="23.1" customHeight="1">
      <c r="A414" s="1" t="str">
        <f>IF(ISNUMBER(Lançamentos!A414),Lançamentos!A414,"")</f>
        <v/>
      </c>
      <c r="B414" s="1" t="str">
        <f>IF(Lançamentos!B414="","",Lançamentos!B414)</f>
        <v/>
      </c>
      <c r="C414" s="12" t="str">
        <f>IF(ISNUMBER(Lançamentos!C414),Lançamentos!C414,"")</f>
        <v/>
      </c>
      <c r="D414" s="10" t="str">
        <f>IF(A414="","",SUM(Lançamentos!D$9:D414))</f>
        <v/>
      </c>
      <c r="E414" s="1"/>
      <c r="F414" s="11" t="str">
        <f>IF(A414="","",SUM(Lançamentos!F$9:F414))</f>
        <v/>
      </c>
      <c r="G414" s="11" t="str">
        <f>IF(A414="","",SUM(Lançamentos!G$9:G414))</f>
        <v/>
      </c>
      <c r="H414" s="11" t="str">
        <f>IF(A414="","",SUM(Lançamentos!H$9:H414))</f>
        <v/>
      </c>
      <c r="I414" s="12" t="str">
        <f>IF(A414="","",SUM(Lançamentos!C$9:C414))</f>
        <v/>
      </c>
      <c r="J414" s="13" t="str">
        <f>IF(Lançamentos!J414="","",Lançamentos!J414)</f>
        <v/>
      </c>
    </row>
    <row r="415" spans="1:10" ht="23.1" customHeight="1">
      <c r="A415" s="1" t="str">
        <f>IF(ISNUMBER(Lançamentos!A415),Lançamentos!A415,"")</f>
        <v/>
      </c>
      <c r="B415" s="1" t="str">
        <f>IF(Lançamentos!B415="","",Lançamentos!B415)</f>
        <v/>
      </c>
      <c r="C415" s="12" t="str">
        <f>IF(ISNUMBER(Lançamentos!C415),Lançamentos!C415,"")</f>
        <v/>
      </c>
      <c r="D415" s="10" t="str">
        <f>IF(A415="","",SUM(Lançamentos!D$9:D415))</f>
        <v/>
      </c>
      <c r="E415" s="1"/>
      <c r="F415" s="11" t="str">
        <f>IF(A415="","",SUM(Lançamentos!F$9:F415))</f>
        <v/>
      </c>
      <c r="G415" s="11" t="str">
        <f>IF(A415="","",SUM(Lançamentos!G$9:G415))</f>
        <v/>
      </c>
      <c r="H415" s="11" t="str">
        <f>IF(A415="","",SUM(Lançamentos!H$9:H415))</f>
        <v/>
      </c>
      <c r="I415" s="12" t="str">
        <f>IF(A415="","",SUM(Lançamentos!C$9:C415))</f>
        <v/>
      </c>
      <c r="J415" s="13" t="str">
        <f>IF(Lançamentos!J415="","",Lançamentos!J415)</f>
        <v/>
      </c>
    </row>
    <row r="416" spans="1:10" ht="23.1" customHeight="1">
      <c r="A416" s="1" t="str">
        <f>IF(ISNUMBER(Lançamentos!A416),Lançamentos!A416,"")</f>
        <v/>
      </c>
      <c r="B416" s="1" t="str">
        <f>IF(Lançamentos!B416="","",Lançamentos!B416)</f>
        <v/>
      </c>
      <c r="C416" s="12" t="str">
        <f>IF(ISNUMBER(Lançamentos!C416),Lançamentos!C416,"")</f>
        <v/>
      </c>
      <c r="D416" s="10" t="str">
        <f>IF(A416="","",SUM(Lançamentos!D$9:D416))</f>
        <v/>
      </c>
      <c r="E416" s="1"/>
      <c r="F416" s="11" t="str">
        <f>IF(A416="","",SUM(Lançamentos!F$9:F416))</f>
        <v/>
      </c>
      <c r="G416" s="11" t="str">
        <f>IF(A416="","",SUM(Lançamentos!G$9:G416))</f>
        <v/>
      </c>
      <c r="H416" s="11" t="str">
        <f>IF(A416="","",SUM(Lançamentos!H$9:H416))</f>
        <v/>
      </c>
      <c r="I416" s="12" t="str">
        <f>IF(A416="","",SUM(Lançamentos!C$9:C416))</f>
        <v/>
      </c>
      <c r="J416" s="13" t="str">
        <f>IF(Lançamentos!J416="","",Lançamentos!J416)</f>
        <v/>
      </c>
    </row>
    <row r="417" spans="1:10" ht="23.1" customHeight="1">
      <c r="A417" s="1" t="str">
        <f>IF(ISNUMBER(Lançamentos!A417),Lançamentos!A417,"")</f>
        <v/>
      </c>
      <c r="B417" s="1" t="str">
        <f>IF(Lançamentos!B417="","",Lançamentos!B417)</f>
        <v/>
      </c>
      <c r="C417" s="12" t="str">
        <f>IF(ISNUMBER(Lançamentos!C417),Lançamentos!C417,"")</f>
        <v/>
      </c>
      <c r="D417" s="10" t="str">
        <f>IF(A417="","",SUM(Lançamentos!D$9:D417))</f>
        <v/>
      </c>
      <c r="E417" s="1"/>
      <c r="F417" s="11" t="str">
        <f>IF(A417="","",SUM(Lançamentos!F$9:F417))</f>
        <v/>
      </c>
      <c r="G417" s="11" t="str">
        <f>IF(A417="","",SUM(Lançamentos!G$9:G417))</f>
        <v/>
      </c>
      <c r="H417" s="11" t="str">
        <f>IF(A417="","",SUM(Lançamentos!H$9:H417))</f>
        <v/>
      </c>
      <c r="I417" s="12" t="str">
        <f>IF(A417="","",SUM(Lançamentos!C$9:C417))</f>
        <v/>
      </c>
      <c r="J417" s="13" t="str">
        <f>IF(Lançamentos!J417="","",Lançamentos!J417)</f>
        <v/>
      </c>
    </row>
    <row r="418" spans="1:10" ht="23.1" customHeight="1">
      <c r="A418" s="1" t="str">
        <f>IF(ISNUMBER(Lançamentos!A418),Lançamentos!A418,"")</f>
        <v/>
      </c>
      <c r="B418" s="1" t="str">
        <f>IF(Lançamentos!B418="","",Lançamentos!B418)</f>
        <v/>
      </c>
      <c r="C418" s="12" t="str">
        <f>IF(ISNUMBER(Lançamentos!C418),Lançamentos!C418,"")</f>
        <v/>
      </c>
      <c r="D418" s="10" t="str">
        <f>IF(A418="","",SUM(Lançamentos!D$9:D418))</f>
        <v/>
      </c>
      <c r="E418" s="1"/>
      <c r="F418" s="11" t="str">
        <f>IF(A418="","",SUM(Lançamentos!F$9:F418))</f>
        <v/>
      </c>
      <c r="G418" s="11" t="str">
        <f>IF(A418="","",SUM(Lançamentos!G$9:G418))</f>
        <v/>
      </c>
      <c r="H418" s="11" t="str">
        <f>IF(A418="","",SUM(Lançamentos!H$9:H418))</f>
        <v/>
      </c>
      <c r="I418" s="12" t="str">
        <f>IF(A418="","",SUM(Lançamentos!C$9:C418))</f>
        <v/>
      </c>
      <c r="J418" s="13" t="str">
        <f>IF(Lançamentos!J418="","",Lançamentos!J418)</f>
        <v/>
      </c>
    </row>
    <row r="419" spans="1:10" ht="23.1" customHeight="1">
      <c r="A419" s="1" t="str">
        <f>IF(ISNUMBER(Lançamentos!A419),Lançamentos!A419,"")</f>
        <v/>
      </c>
      <c r="B419" s="1" t="str">
        <f>IF(Lançamentos!B419="","",Lançamentos!B419)</f>
        <v/>
      </c>
      <c r="C419" s="12" t="str">
        <f>IF(ISNUMBER(Lançamentos!C419),Lançamentos!C419,"")</f>
        <v/>
      </c>
      <c r="D419" s="10" t="str">
        <f>IF(A419="","",SUM(Lançamentos!D$9:D419))</f>
        <v/>
      </c>
      <c r="E419" s="1"/>
      <c r="F419" s="11" t="str">
        <f>IF(A419="","",SUM(Lançamentos!F$9:F419))</f>
        <v/>
      </c>
      <c r="G419" s="11" t="str">
        <f>IF(A419="","",SUM(Lançamentos!G$9:G419))</f>
        <v/>
      </c>
      <c r="H419" s="11" t="str">
        <f>IF(A419="","",SUM(Lançamentos!H$9:H419))</f>
        <v/>
      </c>
      <c r="I419" s="12" t="str">
        <f>IF(A419="","",SUM(Lançamentos!C$9:C419))</f>
        <v/>
      </c>
      <c r="J419" s="13" t="str">
        <f>IF(Lançamentos!J419="","",Lançamentos!J419)</f>
        <v/>
      </c>
    </row>
    <row r="420" spans="1:10" ht="23.1" customHeight="1">
      <c r="A420" s="1" t="str">
        <f>IF(ISNUMBER(Lançamentos!A420),Lançamentos!A420,"")</f>
        <v/>
      </c>
      <c r="B420" s="1" t="str">
        <f>IF(Lançamentos!B420="","",Lançamentos!B420)</f>
        <v/>
      </c>
      <c r="C420" s="12" t="str">
        <f>IF(ISNUMBER(Lançamentos!C420),Lançamentos!C420,"")</f>
        <v/>
      </c>
      <c r="D420" s="10" t="str">
        <f>IF(A420="","",SUM(Lançamentos!D$9:D420))</f>
        <v/>
      </c>
      <c r="E420" s="1"/>
      <c r="F420" s="11" t="str">
        <f>IF(A420="","",SUM(Lançamentos!F$9:F420))</f>
        <v/>
      </c>
      <c r="G420" s="11" t="str">
        <f>IF(A420="","",SUM(Lançamentos!G$9:G420))</f>
        <v/>
      </c>
      <c r="H420" s="11" t="str">
        <f>IF(A420="","",SUM(Lançamentos!H$9:H420))</f>
        <v/>
      </c>
      <c r="I420" s="12" t="str">
        <f>IF(A420="","",SUM(Lançamentos!C$9:C420))</f>
        <v/>
      </c>
      <c r="J420" s="13" t="str">
        <f>IF(Lançamentos!J420="","",Lançamentos!J420)</f>
        <v/>
      </c>
    </row>
    <row r="421" spans="1:10" ht="23.1" customHeight="1">
      <c r="A421" s="1" t="str">
        <f>IF(ISNUMBER(Lançamentos!A421),Lançamentos!A421,"")</f>
        <v/>
      </c>
      <c r="B421" s="1" t="str">
        <f>IF(Lançamentos!B421="","",Lançamentos!B421)</f>
        <v/>
      </c>
      <c r="C421" s="12" t="str">
        <f>IF(ISNUMBER(Lançamentos!C421),Lançamentos!C421,"")</f>
        <v/>
      </c>
      <c r="D421" s="10" t="str">
        <f>IF(A421="","",SUM(Lançamentos!D$9:D421))</f>
        <v/>
      </c>
      <c r="E421" s="1"/>
      <c r="F421" s="11" t="str">
        <f>IF(A421="","",SUM(Lançamentos!F$9:F421))</f>
        <v/>
      </c>
      <c r="G421" s="11" t="str">
        <f>IF(A421="","",SUM(Lançamentos!G$9:G421))</f>
        <v/>
      </c>
      <c r="H421" s="11" t="str">
        <f>IF(A421="","",SUM(Lançamentos!H$9:H421))</f>
        <v/>
      </c>
      <c r="I421" s="12" t="str">
        <f>IF(A421="","",SUM(Lançamentos!C$9:C421))</f>
        <v/>
      </c>
      <c r="J421" s="13" t="str">
        <f>IF(Lançamentos!J421="","",Lançamentos!J421)</f>
        <v/>
      </c>
    </row>
    <row r="422" spans="1:10" ht="23.1" customHeight="1">
      <c r="A422" s="1" t="str">
        <f>IF(ISNUMBER(Lançamentos!A422),Lançamentos!A422,"")</f>
        <v/>
      </c>
      <c r="B422" s="1" t="str">
        <f>IF(Lançamentos!B422="","",Lançamentos!B422)</f>
        <v/>
      </c>
      <c r="C422" s="12" t="str">
        <f>IF(ISNUMBER(Lançamentos!C422),Lançamentos!C422,"")</f>
        <v/>
      </c>
      <c r="D422" s="10" t="str">
        <f>IF(A422="","",SUM(Lançamentos!D$9:D422))</f>
        <v/>
      </c>
      <c r="E422" s="1"/>
      <c r="F422" s="11" t="str">
        <f>IF(A422="","",SUM(Lançamentos!F$9:F422))</f>
        <v/>
      </c>
      <c r="G422" s="11" t="str">
        <f>IF(A422="","",SUM(Lançamentos!G$9:G422))</f>
        <v/>
      </c>
      <c r="H422" s="11" t="str">
        <f>IF(A422="","",SUM(Lançamentos!H$9:H422))</f>
        <v/>
      </c>
      <c r="I422" s="12" t="str">
        <f>IF(A422="","",SUM(Lançamentos!C$9:C422))</f>
        <v/>
      </c>
      <c r="J422" s="13" t="str">
        <f>IF(Lançamentos!J422="","",Lançamentos!J422)</f>
        <v/>
      </c>
    </row>
    <row r="423" spans="1:10" ht="23.1" customHeight="1">
      <c r="A423" s="1" t="str">
        <f>IF(ISNUMBER(Lançamentos!A423),Lançamentos!A423,"")</f>
        <v/>
      </c>
      <c r="B423" s="1" t="str">
        <f>IF(Lançamentos!B423="","",Lançamentos!B423)</f>
        <v/>
      </c>
      <c r="C423" s="12" t="str">
        <f>IF(ISNUMBER(Lançamentos!C423),Lançamentos!C423,"")</f>
        <v/>
      </c>
      <c r="D423" s="10" t="str">
        <f>IF(A423="","",SUM(Lançamentos!D$9:D423))</f>
        <v/>
      </c>
      <c r="E423" s="1"/>
      <c r="F423" s="11" t="str">
        <f>IF(A423="","",SUM(Lançamentos!F$9:F423))</f>
        <v/>
      </c>
      <c r="G423" s="11" t="str">
        <f>IF(A423="","",SUM(Lançamentos!G$9:G423))</f>
        <v/>
      </c>
      <c r="H423" s="11" t="str">
        <f>IF(A423="","",SUM(Lançamentos!H$9:H423))</f>
        <v/>
      </c>
      <c r="I423" s="12" t="str">
        <f>IF(A423="","",SUM(Lançamentos!C$9:C423))</f>
        <v/>
      </c>
      <c r="J423" s="13" t="str">
        <f>IF(Lançamentos!J423="","",Lançamentos!J423)</f>
        <v/>
      </c>
    </row>
    <row r="424" spans="1:10" ht="23.1" customHeight="1">
      <c r="A424" s="1" t="str">
        <f>IF(ISNUMBER(Lançamentos!A424),Lançamentos!A424,"")</f>
        <v/>
      </c>
      <c r="B424" s="1" t="str">
        <f>IF(Lançamentos!B424="","",Lançamentos!B424)</f>
        <v/>
      </c>
      <c r="C424" s="12" t="str">
        <f>IF(ISNUMBER(Lançamentos!C424),Lançamentos!C424,"")</f>
        <v/>
      </c>
      <c r="D424" s="10" t="str">
        <f>IF(A424="","",SUM(Lançamentos!D$9:D424))</f>
        <v/>
      </c>
      <c r="E424" s="1"/>
      <c r="F424" s="11" t="str">
        <f>IF(A424="","",SUM(Lançamentos!F$9:F424))</f>
        <v/>
      </c>
      <c r="G424" s="11" t="str">
        <f>IF(A424="","",SUM(Lançamentos!G$9:G424))</f>
        <v/>
      </c>
      <c r="H424" s="11" t="str">
        <f>IF(A424="","",SUM(Lançamentos!H$9:H424))</f>
        <v/>
      </c>
      <c r="I424" s="12" t="str">
        <f>IF(A424="","",SUM(Lançamentos!C$9:C424))</f>
        <v/>
      </c>
      <c r="J424" s="13" t="str">
        <f>IF(Lançamentos!J424="","",Lançamentos!J424)</f>
        <v/>
      </c>
    </row>
    <row r="425" spans="1:10" ht="23.1" customHeight="1">
      <c r="A425" s="1" t="str">
        <f>IF(ISNUMBER(Lançamentos!A425),Lançamentos!A425,"")</f>
        <v/>
      </c>
      <c r="B425" s="1" t="str">
        <f>IF(Lançamentos!B425="","",Lançamentos!B425)</f>
        <v/>
      </c>
      <c r="C425" s="12" t="str">
        <f>IF(ISNUMBER(Lançamentos!C425),Lançamentos!C425,"")</f>
        <v/>
      </c>
      <c r="D425" s="10" t="str">
        <f>IF(A425="","",SUM(Lançamentos!D$9:D425))</f>
        <v/>
      </c>
      <c r="E425" s="1"/>
      <c r="F425" s="11" t="str">
        <f>IF(A425="","",SUM(Lançamentos!F$9:F425))</f>
        <v/>
      </c>
      <c r="G425" s="11" t="str">
        <f>IF(A425="","",SUM(Lançamentos!G$9:G425))</f>
        <v/>
      </c>
      <c r="H425" s="11" t="str">
        <f>IF(A425="","",SUM(Lançamentos!H$9:H425))</f>
        <v/>
      </c>
      <c r="I425" s="12" t="str">
        <f>IF(A425="","",SUM(Lançamentos!C$9:C425))</f>
        <v/>
      </c>
      <c r="J425" s="13" t="str">
        <f>IF(Lançamentos!J425="","",Lançamentos!J425)</f>
        <v/>
      </c>
    </row>
    <row r="426" spans="1:10" ht="23.1" customHeight="1">
      <c r="A426" s="1" t="str">
        <f>IF(ISNUMBER(Lançamentos!A426),Lançamentos!A426,"")</f>
        <v/>
      </c>
      <c r="B426" s="1" t="str">
        <f>IF(Lançamentos!B426="","",Lançamentos!B426)</f>
        <v/>
      </c>
      <c r="C426" s="12" t="str">
        <f>IF(ISNUMBER(Lançamentos!C426),Lançamentos!C426,"")</f>
        <v/>
      </c>
      <c r="D426" s="10" t="str">
        <f>IF(A426="","",SUM(Lançamentos!D$9:D426))</f>
        <v/>
      </c>
      <c r="E426" s="1"/>
      <c r="F426" s="11" t="str">
        <f>IF(A426="","",SUM(Lançamentos!F$9:F426))</f>
        <v/>
      </c>
      <c r="G426" s="11" t="str">
        <f>IF(A426="","",SUM(Lançamentos!G$9:G426))</f>
        <v/>
      </c>
      <c r="H426" s="11" t="str">
        <f>IF(A426="","",SUM(Lançamentos!H$9:H426))</f>
        <v/>
      </c>
      <c r="I426" s="12" t="str">
        <f>IF(A426="","",SUM(Lançamentos!C$9:C426))</f>
        <v/>
      </c>
      <c r="J426" s="13" t="str">
        <f>IF(Lançamentos!J426="","",Lançamentos!J426)</f>
        <v/>
      </c>
    </row>
    <row r="427" spans="1:10" ht="23.1" customHeight="1">
      <c r="A427" s="1" t="str">
        <f>IF(ISNUMBER(Lançamentos!A427),Lançamentos!A427,"")</f>
        <v/>
      </c>
      <c r="B427" s="1" t="str">
        <f>IF(Lançamentos!B427="","",Lançamentos!B427)</f>
        <v/>
      </c>
      <c r="C427" s="12" t="str">
        <f>IF(ISNUMBER(Lançamentos!C427),Lançamentos!C427,"")</f>
        <v/>
      </c>
      <c r="D427" s="10" t="str">
        <f>IF(A427="","",SUM(Lançamentos!D$9:D427))</f>
        <v/>
      </c>
      <c r="E427" s="1"/>
      <c r="F427" s="11" t="str">
        <f>IF(A427="","",SUM(Lançamentos!F$9:F427))</f>
        <v/>
      </c>
      <c r="G427" s="11" t="str">
        <f>IF(A427="","",SUM(Lançamentos!G$9:G427))</f>
        <v/>
      </c>
      <c r="H427" s="11" t="str">
        <f>IF(A427="","",SUM(Lançamentos!H$9:H427))</f>
        <v/>
      </c>
      <c r="I427" s="12" t="str">
        <f>IF(A427="","",SUM(Lançamentos!C$9:C427))</f>
        <v/>
      </c>
      <c r="J427" s="13" t="str">
        <f>IF(Lançamentos!J427="","",Lançamentos!J427)</f>
        <v/>
      </c>
    </row>
    <row r="428" spans="1:10" ht="23.1" customHeight="1">
      <c r="A428" s="1" t="str">
        <f>IF(ISNUMBER(Lançamentos!A428),Lançamentos!A428,"")</f>
        <v/>
      </c>
      <c r="B428" s="1" t="str">
        <f>IF(Lançamentos!B428="","",Lançamentos!B428)</f>
        <v/>
      </c>
      <c r="C428" s="12" t="str">
        <f>IF(ISNUMBER(Lançamentos!C428),Lançamentos!C428,"")</f>
        <v/>
      </c>
      <c r="D428" s="10" t="str">
        <f>IF(A428="","",SUM(Lançamentos!D$9:D428))</f>
        <v/>
      </c>
      <c r="E428" s="1"/>
      <c r="F428" s="11" t="str">
        <f>IF(A428="","",SUM(Lançamentos!F$9:F428))</f>
        <v/>
      </c>
      <c r="G428" s="11" t="str">
        <f>IF(A428="","",SUM(Lançamentos!G$9:G428))</f>
        <v/>
      </c>
      <c r="H428" s="11" t="str">
        <f>IF(A428="","",SUM(Lançamentos!H$9:H428))</f>
        <v/>
      </c>
      <c r="I428" s="12" t="str">
        <f>IF(A428="","",SUM(Lançamentos!C$9:C428))</f>
        <v/>
      </c>
      <c r="J428" s="13" t="str">
        <f>IF(Lançamentos!J428="","",Lançamentos!J428)</f>
        <v/>
      </c>
    </row>
    <row r="429" spans="1:10" ht="23.1" customHeight="1">
      <c r="A429" s="1" t="str">
        <f>IF(ISNUMBER(Lançamentos!A429),Lançamentos!A429,"")</f>
        <v/>
      </c>
      <c r="B429" s="1" t="str">
        <f>IF(Lançamentos!B429="","",Lançamentos!B429)</f>
        <v/>
      </c>
      <c r="C429" s="12" t="str">
        <f>IF(ISNUMBER(Lançamentos!C429),Lançamentos!C429,"")</f>
        <v/>
      </c>
      <c r="D429" s="10" t="str">
        <f>IF(A429="","",SUM(Lançamentos!D$9:D429))</f>
        <v/>
      </c>
      <c r="E429" s="1"/>
      <c r="F429" s="11" t="str">
        <f>IF(A429="","",SUM(Lançamentos!F$9:F429))</f>
        <v/>
      </c>
      <c r="G429" s="11" t="str">
        <f>IF(A429="","",SUM(Lançamentos!G$9:G429))</f>
        <v/>
      </c>
      <c r="H429" s="11" t="str">
        <f>IF(A429="","",SUM(Lançamentos!H$9:H429))</f>
        <v/>
      </c>
      <c r="I429" s="12" t="str">
        <f>IF(A429="","",SUM(Lançamentos!C$9:C429))</f>
        <v/>
      </c>
      <c r="J429" s="13" t="str">
        <f>IF(Lançamentos!J429="","",Lançamentos!J429)</f>
        <v/>
      </c>
    </row>
    <row r="430" spans="1:10" ht="23.1" customHeight="1">
      <c r="A430" s="1" t="str">
        <f>IF(ISNUMBER(Lançamentos!A430),Lançamentos!A430,"")</f>
        <v/>
      </c>
      <c r="B430" s="1" t="str">
        <f>IF(Lançamentos!B430="","",Lançamentos!B430)</f>
        <v/>
      </c>
      <c r="C430" s="12" t="str">
        <f>IF(ISNUMBER(Lançamentos!C430),Lançamentos!C430,"")</f>
        <v/>
      </c>
      <c r="D430" s="10" t="str">
        <f>IF(A430="","",SUM(Lançamentos!D$9:D430))</f>
        <v/>
      </c>
      <c r="E430" s="1"/>
      <c r="F430" s="11" t="str">
        <f>IF(A430="","",SUM(Lançamentos!F$9:F430))</f>
        <v/>
      </c>
      <c r="G430" s="11" t="str">
        <f>IF(A430="","",SUM(Lançamentos!G$9:G430))</f>
        <v/>
      </c>
      <c r="H430" s="11" t="str">
        <f>IF(A430="","",SUM(Lançamentos!H$9:H430))</f>
        <v/>
      </c>
      <c r="I430" s="12" t="str">
        <f>IF(A430="","",SUM(Lançamentos!C$9:C430))</f>
        <v/>
      </c>
      <c r="J430" s="13" t="str">
        <f>IF(Lançamentos!J430="","",Lançamentos!J430)</f>
        <v/>
      </c>
    </row>
    <row r="431" spans="1:10" ht="23.1" customHeight="1">
      <c r="A431" s="1" t="str">
        <f>IF(ISNUMBER(Lançamentos!A431),Lançamentos!A431,"")</f>
        <v/>
      </c>
      <c r="B431" s="1" t="str">
        <f>IF(Lançamentos!B431="","",Lançamentos!B431)</f>
        <v/>
      </c>
      <c r="C431" s="12" t="str">
        <f>IF(ISNUMBER(Lançamentos!C431),Lançamentos!C431,"")</f>
        <v/>
      </c>
      <c r="D431" s="10" t="str">
        <f>IF(A431="","",SUM(Lançamentos!D$9:D431))</f>
        <v/>
      </c>
      <c r="E431" s="1"/>
      <c r="F431" s="11" t="str">
        <f>IF(A431="","",SUM(Lançamentos!F$9:F431))</f>
        <v/>
      </c>
      <c r="G431" s="11" t="str">
        <f>IF(A431="","",SUM(Lançamentos!G$9:G431))</f>
        <v/>
      </c>
      <c r="H431" s="11" t="str">
        <f>IF(A431="","",SUM(Lançamentos!H$9:H431))</f>
        <v/>
      </c>
      <c r="I431" s="12" t="str">
        <f>IF(A431="","",SUM(Lançamentos!C$9:C431))</f>
        <v/>
      </c>
      <c r="J431" s="13" t="str">
        <f>IF(Lançamentos!J431="","",Lançamentos!J431)</f>
        <v/>
      </c>
    </row>
    <row r="432" spans="1:10" ht="23.1" customHeight="1">
      <c r="A432" s="1" t="str">
        <f>IF(ISNUMBER(Lançamentos!A432),Lançamentos!A432,"")</f>
        <v/>
      </c>
      <c r="B432" s="1" t="str">
        <f>IF(Lançamentos!B432="","",Lançamentos!B432)</f>
        <v/>
      </c>
      <c r="C432" s="12" t="str">
        <f>IF(ISNUMBER(Lançamentos!C432),Lançamentos!C432,"")</f>
        <v/>
      </c>
      <c r="D432" s="10" t="str">
        <f>IF(A432="","",SUM(Lançamentos!D$9:D432))</f>
        <v/>
      </c>
      <c r="E432" s="1"/>
      <c r="F432" s="11" t="str">
        <f>IF(A432="","",SUM(Lançamentos!F$9:F432))</f>
        <v/>
      </c>
      <c r="G432" s="11" t="str">
        <f>IF(A432="","",SUM(Lançamentos!G$9:G432))</f>
        <v/>
      </c>
      <c r="H432" s="11" t="str">
        <f>IF(A432="","",SUM(Lançamentos!H$9:H432))</f>
        <v/>
      </c>
      <c r="I432" s="12" t="str">
        <f>IF(A432="","",SUM(Lançamentos!C$9:C432))</f>
        <v/>
      </c>
      <c r="J432" s="13" t="str">
        <f>IF(Lançamentos!J432="","",Lançamentos!J432)</f>
        <v/>
      </c>
    </row>
    <row r="433" spans="1:10" ht="23.1" customHeight="1">
      <c r="A433" s="1" t="str">
        <f>IF(ISNUMBER(Lançamentos!A433),Lançamentos!A433,"")</f>
        <v/>
      </c>
      <c r="B433" s="1" t="str">
        <f>IF(Lançamentos!B433="","",Lançamentos!B433)</f>
        <v/>
      </c>
      <c r="C433" s="12" t="str">
        <f>IF(ISNUMBER(Lançamentos!C433),Lançamentos!C433,"")</f>
        <v/>
      </c>
      <c r="D433" s="10" t="str">
        <f>IF(A433="","",SUM(Lançamentos!D$9:D433))</f>
        <v/>
      </c>
      <c r="E433" s="1"/>
      <c r="F433" s="11" t="str">
        <f>IF(A433="","",SUM(Lançamentos!F$9:F433))</f>
        <v/>
      </c>
      <c r="G433" s="11" t="str">
        <f>IF(A433="","",SUM(Lançamentos!G$9:G433))</f>
        <v/>
      </c>
      <c r="H433" s="11" t="str">
        <f>IF(A433="","",SUM(Lançamentos!H$9:H433))</f>
        <v/>
      </c>
      <c r="I433" s="12" t="str">
        <f>IF(A433="","",SUM(Lançamentos!C$9:C433))</f>
        <v/>
      </c>
      <c r="J433" s="13" t="str">
        <f>IF(Lançamentos!J433="","",Lançamentos!J433)</f>
        <v/>
      </c>
    </row>
    <row r="434" spans="1:10" ht="23.1" customHeight="1">
      <c r="A434" s="1" t="str">
        <f>IF(ISNUMBER(Lançamentos!A434),Lançamentos!A434,"")</f>
        <v/>
      </c>
      <c r="B434" s="1" t="str">
        <f>IF(Lançamentos!B434="","",Lançamentos!B434)</f>
        <v/>
      </c>
      <c r="C434" s="12" t="str">
        <f>IF(ISNUMBER(Lançamentos!C434),Lançamentos!C434,"")</f>
        <v/>
      </c>
      <c r="D434" s="10" t="str">
        <f>IF(A434="","",SUM(Lançamentos!D$9:D434))</f>
        <v/>
      </c>
      <c r="E434" s="1"/>
      <c r="F434" s="11" t="str">
        <f>IF(A434="","",SUM(Lançamentos!F$9:F434))</f>
        <v/>
      </c>
      <c r="G434" s="11" t="str">
        <f>IF(A434="","",SUM(Lançamentos!G$9:G434))</f>
        <v/>
      </c>
      <c r="H434" s="11" t="str">
        <f>IF(A434="","",SUM(Lançamentos!H$9:H434))</f>
        <v/>
      </c>
      <c r="I434" s="12" t="str">
        <f>IF(A434="","",SUM(Lançamentos!C$9:C434))</f>
        <v/>
      </c>
      <c r="J434" s="13" t="str">
        <f>IF(Lançamentos!J434="","",Lançamentos!J434)</f>
        <v/>
      </c>
    </row>
    <row r="435" spans="1:10" ht="23.1" customHeight="1">
      <c r="A435" s="1" t="str">
        <f>IF(ISNUMBER(Lançamentos!A435),Lançamentos!A435,"")</f>
        <v/>
      </c>
      <c r="B435" s="1" t="str">
        <f>IF(Lançamentos!B435="","",Lançamentos!B435)</f>
        <v/>
      </c>
      <c r="C435" s="12" t="str">
        <f>IF(ISNUMBER(Lançamentos!C435),Lançamentos!C435,"")</f>
        <v/>
      </c>
      <c r="D435" s="10" t="str">
        <f>IF(A435="","",SUM(Lançamentos!D$9:D435))</f>
        <v/>
      </c>
      <c r="E435" s="1"/>
      <c r="F435" s="11" t="str">
        <f>IF(A435="","",SUM(Lançamentos!F$9:F435))</f>
        <v/>
      </c>
      <c r="G435" s="11" t="str">
        <f>IF(A435="","",SUM(Lançamentos!G$9:G435))</f>
        <v/>
      </c>
      <c r="H435" s="11" t="str">
        <f>IF(A435="","",SUM(Lançamentos!H$9:H435))</f>
        <v/>
      </c>
      <c r="I435" s="12" t="str">
        <f>IF(A435="","",SUM(Lançamentos!C$9:C435))</f>
        <v/>
      </c>
      <c r="J435" s="13" t="str">
        <f>IF(Lançamentos!J435="","",Lançamentos!J435)</f>
        <v/>
      </c>
    </row>
    <row r="436" spans="1:10" ht="23.1" customHeight="1">
      <c r="A436" s="1" t="str">
        <f>IF(ISNUMBER(Lançamentos!A436),Lançamentos!A436,"")</f>
        <v/>
      </c>
      <c r="B436" s="1" t="str">
        <f>IF(Lançamentos!B436="","",Lançamentos!B436)</f>
        <v/>
      </c>
      <c r="C436" s="12" t="str">
        <f>IF(ISNUMBER(Lançamentos!C436),Lançamentos!C436,"")</f>
        <v/>
      </c>
      <c r="D436" s="10" t="str">
        <f>IF(A436="","",SUM(Lançamentos!D$9:D436))</f>
        <v/>
      </c>
      <c r="E436" s="1"/>
      <c r="F436" s="11" t="str">
        <f>IF(A436="","",SUM(Lançamentos!F$9:F436))</f>
        <v/>
      </c>
      <c r="G436" s="11" t="str">
        <f>IF(A436="","",SUM(Lançamentos!G$9:G436))</f>
        <v/>
      </c>
      <c r="H436" s="11" t="str">
        <f>IF(A436="","",SUM(Lançamentos!H$9:H436))</f>
        <v/>
      </c>
      <c r="I436" s="12" t="str">
        <f>IF(A436="","",SUM(Lançamentos!C$9:C436))</f>
        <v/>
      </c>
      <c r="J436" s="13" t="str">
        <f>IF(Lançamentos!J436="","",Lançamentos!J436)</f>
        <v/>
      </c>
    </row>
    <row r="437" spans="1:10" ht="23.1" customHeight="1">
      <c r="A437" s="1" t="str">
        <f>IF(ISNUMBER(Lançamentos!A437),Lançamentos!A437,"")</f>
        <v/>
      </c>
      <c r="B437" s="1" t="str">
        <f>IF(Lançamentos!B437="","",Lançamentos!B437)</f>
        <v/>
      </c>
      <c r="C437" s="12" t="str">
        <f>IF(ISNUMBER(Lançamentos!C437),Lançamentos!C437,"")</f>
        <v/>
      </c>
      <c r="D437" s="10" t="str">
        <f>IF(A437="","",SUM(Lançamentos!D$9:D437))</f>
        <v/>
      </c>
      <c r="E437" s="1"/>
      <c r="F437" s="11" t="str">
        <f>IF(A437="","",SUM(Lançamentos!F$9:F437))</f>
        <v/>
      </c>
      <c r="G437" s="11" t="str">
        <f>IF(A437="","",SUM(Lançamentos!G$9:G437))</f>
        <v/>
      </c>
      <c r="H437" s="11" t="str">
        <f>IF(A437="","",SUM(Lançamentos!H$9:H437))</f>
        <v/>
      </c>
      <c r="I437" s="12" t="str">
        <f>IF(A437="","",SUM(Lançamentos!C$9:C437))</f>
        <v/>
      </c>
      <c r="J437" s="13" t="str">
        <f>IF(Lançamentos!J437="","",Lançamentos!J437)</f>
        <v/>
      </c>
    </row>
    <row r="438" spans="1:10" ht="23.1" customHeight="1">
      <c r="A438" s="1" t="str">
        <f>IF(ISNUMBER(Lançamentos!A438),Lançamentos!A438,"")</f>
        <v/>
      </c>
      <c r="B438" s="1" t="str">
        <f>IF(Lançamentos!B438="","",Lançamentos!B438)</f>
        <v/>
      </c>
      <c r="C438" s="12" t="str">
        <f>IF(ISNUMBER(Lançamentos!C438),Lançamentos!C438,"")</f>
        <v/>
      </c>
      <c r="D438" s="10" t="str">
        <f>IF(A438="","",SUM(Lançamentos!D$9:D438))</f>
        <v/>
      </c>
      <c r="E438" s="1"/>
      <c r="F438" s="11" t="str">
        <f>IF(A438="","",SUM(Lançamentos!F$9:F438))</f>
        <v/>
      </c>
      <c r="G438" s="11" t="str">
        <f>IF(A438="","",SUM(Lançamentos!G$9:G438))</f>
        <v/>
      </c>
      <c r="H438" s="11" t="str">
        <f>IF(A438="","",SUM(Lançamentos!H$9:H438))</f>
        <v/>
      </c>
      <c r="I438" s="12" t="str">
        <f>IF(A438="","",SUM(Lançamentos!C$9:C438))</f>
        <v/>
      </c>
      <c r="J438" s="13" t="str">
        <f>IF(Lançamentos!J438="","",Lançamentos!J438)</f>
        <v/>
      </c>
    </row>
    <row r="439" spans="1:10" ht="23.1" customHeight="1">
      <c r="A439" s="1" t="str">
        <f>IF(ISNUMBER(Lançamentos!A439),Lançamentos!A439,"")</f>
        <v/>
      </c>
      <c r="B439" s="1" t="str">
        <f>IF(Lançamentos!B439="","",Lançamentos!B439)</f>
        <v/>
      </c>
      <c r="C439" s="12" t="str">
        <f>IF(ISNUMBER(Lançamentos!C439),Lançamentos!C439,"")</f>
        <v/>
      </c>
      <c r="D439" s="10" t="str">
        <f>IF(A439="","",SUM(Lançamentos!D$9:D439))</f>
        <v/>
      </c>
      <c r="E439" s="1"/>
      <c r="F439" s="11" t="str">
        <f>IF(A439="","",SUM(Lançamentos!F$9:F439))</f>
        <v/>
      </c>
      <c r="G439" s="11" t="str">
        <f>IF(A439="","",SUM(Lançamentos!G$9:G439))</f>
        <v/>
      </c>
      <c r="H439" s="11" t="str">
        <f>IF(A439="","",SUM(Lançamentos!H$9:H439))</f>
        <v/>
      </c>
      <c r="I439" s="12" t="str">
        <f>IF(A439="","",SUM(Lançamentos!C$9:C439))</f>
        <v/>
      </c>
      <c r="J439" s="13" t="str">
        <f>IF(Lançamentos!J439="","",Lançamentos!J439)</f>
        <v/>
      </c>
    </row>
    <row r="440" spans="1:10" ht="23.1" customHeight="1">
      <c r="A440" s="1" t="str">
        <f>IF(ISNUMBER(Lançamentos!A440),Lançamentos!A440,"")</f>
        <v/>
      </c>
      <c r="B440" s="1" t="str">
        <f>IF(Lançamentos!B440="","",Lançamentos!B440)</f>
        <v/>
      </c>
      <c r="C440" s="12" t="str">
        <f>IF(ISNUMBER(Lançamentos!C440),Lançamentos!C440,"")</f>
        <v/>
      </c>
      <c r="D440" s="10" t="str">
        <f>IF(A440="","",SUM(Lançamentos!D$9:D440))</f>
        <v/>
      </c>
      <c r="E440" s="1"/>
      <c r="F440" s="11" t="str">
        <f>IF(A440="","",SUM(Lançamentos!F$9:F440))</f>
        <v/>
      </c>
      <c r="G440" s="11" t="str">
        <f>IF(A440="","",SUM(Lançamentos!G$9:G440))</f>
        <v/>
      </c>
      <c r="H440" s="11" t="str">
        <f>IF(A440="","",SUM(Lançamentos!H$9:H440))</f>
        <v/>
      </c>
      <c r="I440" s="12" t="str">
        <f>IF(A440="","",SUM(Lançamentos!C$9:C440))</f>
        <v/>
      </c>
      <c r="J440" s="13" t="str">
        <f>IF(Lançamentos!J440="","",Lançamentos!J440)</f>
        <v/>
      </c>
    </row>
    <row r="441" spans="1:10" ht="23.1" customHeight="1">
      <c r="A441" s="1" t="str">
        <f>IF(ISNUMBER(Lançamentos!A441),Lançamentos!A441,"")</f>
        <v/>
      </c>
      <c r="B441" s="1" t="str">
        <f>IF(Lançamentos!B441="","",Lançamentos!B441)</f>
        <v/>
      </c>
      <c r="C441" s="12" t="str">
        <f>IF(ISNUMBER(Lançamentos!C441),Lançamentos!C441,"")</f>
        <v/>
      </c>
      <c r="D441" s="10" t="str">
        <f>IF(A441="","",SUM(Lançamentos!D$9:D441))</f>
        <v/>
      </c>
      <c r="E441" s="1"/>
      <c r="F441" s="11" t="str">
        <f>IF(A441="","",SUM(Lançamentos!F$9:F441))</f>
        <v/>
      </c>
      <c r="G441" s="11" t="str">
        <f>IF(A441="","",SUM(Lançamentos!G$9:G441))</f>
        <v/>
      </c>
      <c r="H441" s="11" t="str">
        <f>IF(A441="","",SUM(Lançamentos!H$9:H441))</f>
        <v/>
      </c>
      <c r="I441" s="12" t="str">
        <f>IF(A441="","",SUM(Lançamentos!C$9:C441))</f>
        <v/>
      </c>
      <c r="J441" s="13" t="str">
        <f>IF(Lançamentos!J441="","",Lançamentos!J441)</f>
        <v/>
      </c>
    </row>
    <row r="442" spans="1:10" ht="23.1" customHeight="1">
      <c r="A442" s="1" t="str">
        <f>IF(ISNUMBER(Lançamentos!A442),Lançamentos!A442,"")</f>
        <v/>
      </c>
      <c r="B442" s="1" t="str">
        <f>IF(Lançamentos!B442="","",Lançamentos!B442)</f>
        <v/>
      </c>
      <c r="C442" s="12" t="str">
        <f>IF(ISNUMBER(Lançamentos!C442),Lançamentos!C442,"")</f>
        <v/>
      </c>
      <c r="D442" s="10" t="str">
        <f>IF(A442="","",SUM(Lançamentos!D$9:D442))</f>
        <v/>
      </c>
      <c r="E442" s="1"/>
      <c r="F442" s="11" t="str">
        <f>IF(A442="","",SUM(Lançamentos!F$9:F442))</f>
        <v/>
      </c>
      <c r="G442" s="11" t="str">
        <f>IF(A442="","",SUM(Lançamentos!G$9:G442))</f>
        <v/>
      </c>
      <c r="H442" s="11" t="str">
        <f>IF(A442="","",SUM(Lançamentos!H$9:H442))</f>
        <v/>
      </c>
      <c r="I442" s="12" t="str">
        <f>IF(A442="","",SUM(Lançamentos!C$9:C442))</f>
        <v/>
      </c>
      <c r="J442" s="13" t="str">
        <f>IF(Lançamentos!J442="","",Lançamentos!J442)</f>
        <v/>
      </c>
    </row>
    <row r="443" spans="1:10" ht="23.1" customHeight="1">
      <c r="A443" s="1" t="str">
        <f>IF(ISNUMBER(Lançamentos!A443),Lançamentos!A443,"")</f>
        <v/>
      </c>
      <c r="B443" s="1" t="str">
        <f>IF(Lançamentos!B443="","",Lançamentos!B443)</f>
        <v/>
      </c>
      <c r="C443" s="12" t="str">
        <f>IF(ISNUMBER(Lançamentos!C443),Lançamentos!C443,"")</f>
        <v/>
      </c>
      <c r="D443" s="10" t="str">
        <f>IF(A443="","",SUM(Lançamentos!D$9:D443))</f>
        <v/>
      </c>
      <c r="E443" s="1"/>
      <c r="F443" s="11" t="str">
        <f>IF(A443="","",SUM(Lançamentos!F$9:F443))</f>
        <v/>
      </c>
      <c r="G443" s="11" t="str">
        <f>IF(A443="","",SUM(Lançamentos!G$9:G443))</f>
        <v/>
      </c>
      <c r="H443" s="11" t="str">
        <f>IF(A443="","",SUM(Lançamentos!H$9:H443))</f>
        <v/>
      </c>
      <c r="I443" s="12" t="str">
        <f>IF(A443="","",SUM(Lançamentos!C$9:C443))</f>
        <v/>
      </c>
      <c r="J443" s="13" t="str">
        <f>IF(Lançamentos!J443="","",Lançamentos!J443)</f>
        <v/>
      </c>
    </row>
    <row r="444" spans="1:10" ht="23.1" customHeight="1">
      <c r="A444" s="1" t="str">
        <f>IF(ISNUMBER(Lançamentos!A444),Lançamentos!A444,"")</f>
        <v/>
      </c>
      <c r="B444" s="1" t="str">
        <f>IF(Lançamentos!B444="","",Lançamentos!B444)</f>
        <v/>
      </c>
      <c r="C444" s="12" t="str">
        <f>IF(ISNUMBER(Lançamentos!C444),Lançamentos!C444,"")</f>
        <v/>
      </c>
      <c r="D444" s="10" t="str">
        <f>IF(A444="","",SUM(Lançamentos!D$9:D444))</f>
        <v/>
      </c>
      <c r="E444" s="1"/>
      <c r="F444" s="11" t="str">
        <f>IF(A444="","",SUM(Lançamentos!F$9:F444))</f>
        <v/>
      </c>
      <c r="G444" s="11" t="str">
        <f>IF(A444="","",SUM(Lançamentos!G$9:G444))</f>
        <v/>
      </c>
      <c r="H444" s="11" t="str">
        <f>IF(A444="","",SUM(Lançamentos!H$9:H444))</f>
        <v/>
      </c>
      <c r="I444" s="12" t="str">
        <f>IF(A444="","",SUM(Lançamentos!C$9:C444))</f>
        <v/>
      </c>
      <c r="J444" s="13" t="str">
        <f>IF(Lançamentos!J444="","",Lançamentos!J444)</f>
        <v/>
      </c>
    </row>
    <row r="445" spans="1:10" ht="23.1" customHeight="1">
      <c r="A445" s="1" t="str">
        <f>IF(ISNUMBER(Lançamentos!A445),Lançamentos!A445,"")</f>
        <v/>
      </c>
      <c r="B445" s="1" t="str">
        <f>IF(Lançamentos!B445="","",Lançamentos!B445)</f>
        <v/>
      </c>
      <c r="C445" s="12" t="str">
        <f>IF(ISNUMBER(Lançamentos!C445),Lançamentos!C445,"")</f>
        <v/>
      </c>
      <c r="D445" s="10" t="str">
        <f>IF(A445="","",SUM(Lançamentos!D$9:D445))</f>
        <v/>
      </c>
      <c r="E445" s="1"/>
      <c r="F445" s="11" t="str">
        <f>IF(A445="","",SUM(Lançamentos!F$9:F445))</f>
        <v/>
      </c>
      <c r="G445" s="11" t="str">
        <f>IF(A445="","",SUM(Lançamentos!G$9:G445))</f>
        <v/>
      </c>
      <c r="H445" s="11" t="str">
        <f>IF(A445="","",SUM(Lançamentos!H$9:H445))</f>
        <v/>
      </c>
      <c r="I445" s="12" t="str">
        <f>IF(A445="","",SUM(Lançamentos!C$9:C445))</f>
        <v/>
      </c>
      <c r="J445" s="13" t="str">
        <f>IF(Lançamentos!J445="","",Lançamentos!J445)</f>
        <v/>
      </c>
    </row>
    <row r="446" spans="1:10" ht="23.1" customHeight="1">
      <c r="A446" s="1" t="str">
        <f>IF(ISNUMBER(Lançamentos!A446),Lançamentos!A446,"")</f>
        <v/>
      </c>
      <c r="B446" s="1" t="str">
        <f>IF(Lançamentos!B446="","",Lançamentos!B446)</f>
        <v/>
      </c>
      <c r="C446" s="12" t="str">
        <f>IF(ISNUMBER(Lançamentos!C446),Lançamentos!C446,"")</f>
        <v/>
      </c>
      <c r="D446" s="10" t="str">
        <f>IF(A446="","",SUM(Lançamentos!D$9:D446))</f>
        <v/>
      </c>
      <c r="E446" s="1"/>
      <c r="F446" s="11" t="str">
        <f>IF(A446="","",SUM(Lançamentos!F$9:F446))</f>
        <v/>
      </c>
      <c r="G446" s="11" t="str">
        <f>IF(A446="","",SUM(Lançamentos!G$9:G446))</f>
        <v/>
      </c>
      <c r="H446" s="11" t="str">
        <f>IF(A446="","",SUM(Lançamentos!H$9:H446))</f>
        <v/>
      </c>
      <c r="I446" s="12" t="str">
        <f>IF(A446="","",SUM(Lançamentos!C$9:C446))</f>
        <v/>
      </c>
      <c r="J446" s="13" t="str">
        <f>IF(Lançamentos!J446="","",Lançamentos!J446)</f>
        <v/>
      </c>
    </row>
    <row r="447" spans="1:10" ht="23.1" customHeight="1">
      <c r="A447" s="1" t="str">
        <f>IF(ISNUMBER(Lançamentos!A447),Lançamentos!A447,"")</f>
        <v/>
      </c>
      <c r="B447" s="1" t="str">
        <f>IF(Lançamentos!B447="","",Lançamentos!B447)</f>
        <v/>
      </c>
      <c r="C447" s="12" t="str">
        <f>IF(ISNUMBER(Lançamentos!C447),Lançamentos!C447,"")</f>
        <v/>
      </c>
      <c r="D447" s="10" t="str">
        <f>IF(A447="","",SUM(Lançamentos!D$9:D447))</f>
        <v/>
      </c>
      <c r="E447" s="1"/>
      <c r="F447" s="11" t="str">
        <f>IF(A447="","",SUM(Lançamentos!F$9:F447))</f>
        <v/>
      </c>
      <c r="G447" s="11" t="str">
        <f>IF(A447="","",SUM(Lançamentos!G$9:G447))</f>
        <v/>
      </c>
      <c r="H447" s="11" t="str">
        <f>IF(A447="","",SUM(Lançamentos!H$9:H447))</f>
        <v/>
      </c>
      <c r="I447" s="12" t="str">
        <f>IF(A447="","",SUM(Lançamentos!C$9:C447))</f>
        <v/>
      </c>
      <c r="J447" s="13" t="str">
        <f>IF(Lançamentos!J447="","",Lançamentos!J447)</f>
        <v/>
      </c>
    </row>
    <row r="448" spans="1:10" ht="23.1" customHeight="1">
      <c r="A448" s="1" t="str">
        <f>IF(ISNUMBER(Lançamentos!A448),Lançamentos!A448,"")</f>
        <v/>
      </c>
      <c r="B448" s="1" t="str">
        <f>IF(Lançamentos!B448="","",Lançamentos!B448)</f>
        <v/>
      </c>
      <c r="C448" s="12" t="str">
        <f>IF(ISNUMBER(Lançamentos!C448),Lançamentos!C448,"")</f>
        <v/>
      </c>
      <c r="D448" s="10" t="str">
        <f>IF(A448="","",SUM(Lançamentos!D$9:D448))</f>
        <v/>
      </c>
      <c r="E448" s="1"/>
      <c r="F448" s="11" t="str">
        <f>IF(A448="","",SUM(Lançamentos!F$9:F448))</f>
        <v/>
      </c>
      <c r="G448" s="11" t="str">
        <f>IF(A448="","",SUM(Lançamentos!G$9:G448))</f>
        <v/>
      </c>
      <c r="H448" s="11" t="str">
        <f>IF(A448="","",SUM(Lançamentos!H$9:H448))</f>
        <v/>
      </c>
      <c r="I448" s="12" t="str">
        <f>IF(A448="","",SUM(Lançamentos!C$9:C448))</f>
        <v/>
      </c>
      <c r="J448" s="13" t="str">
        <f>IF(Lançamentos!J448="","",Lançamentos!J448)</f>
        <v/>
      </c>
    </row>
    <row r="449" spans="1:10" ht="23.1" customHeight="1">
      <c r="A449" s="1" t="str">
        <f>IF(ISNUMBER(Lançamentos!A449),Lançamentos!A449,"")</f>
        <v/>
      </c>
      <c r="B449" s="1" t="str">
        <f>IF(Lançamentos!B449="","",Lançamentos!B449)</f>
        <v/>
      </c>
      <c r="C449" s="12" t="str">
        <f>IF(ISNUMBER(Lançamentos!C449),Lançamentos!C449,"")</f>
        <v/>
      </c>
      <c r="D449" s="10" t="str">
        <f>IF(A449="","",SUM(Lançamentos!D$9:D449))</f>
        <v/>
      </c>
      <c r="E449" s="1"/>
      <c r="F449" s="11" t="str">
        <f>IF(A449="","",SUM(Lançamentos!F$9:F449))</f>
        <v/>
      </c>
      <c r="G449" s="11" t="str">
        <f>IF(A449="","",SUM(Lançamentos!G$9:G449))</f>
        <v/>
      </c>
      <c r="H449" s="11" t="str">
        <f>IF(A449="","",SUM(Lançamentos!H$9:H449))</f>
        <v/>
      </c>
      <c r="I449" s="12" t="str">
        <f>IF(A449="","",SUM(Lançamentos!C$9:C449))</f>
        <v/>
      </c>
      <c r="J449" s="13" t="str">
        <f>IF(Lançamentos!J449="","",Lançamentos!J449)</f>
        <v/>
      </c>
    </row>
    <row r="450" spans="1:10" ht="23.1" customHeight="1">
      <c r="A450" s="1" t="str">
        <f>IF(ISNUMBER(Lançamentos!A450),Lançamentos!A450,"")</f>
        <v/>
      </c>
      <c r="B450" s="1" t="str">
        <f>IF(Lançamentos!B450="","",Lançamentos!B450)</f>
        <v/>
      </c>
      <c r="C450" s="12" t="str">
        <f>IF(ISNUMBER(Lançamentos!C450),Lançamentos!C450,"")</f>
        <v/>
      </c>
      <c r="D450" s="10" t="str">
        <f>IF(A450="","",SUM(Lançamentos!D$9:D450))</f>
        <v/>
      </c>
      <c r="E450" s="1"/>
      <c r="F450" s="11" t="str">
        <f>IF(A450="","",SUM(Lançamentos!F$9:F450))</f>
        <v/>
      </c>
      <c r="G450" s="11" t="str">
        <f>IF(A450="","",SUM(Lançamentos!G$9:G450))</f>
        <v/>
      </c>
      <c r="H450" s="11" t="str">
        <f>IF(A450="","",SUM(Lançamentos!H$9:H450))</f>
        <v/>
      </c>
      <c r="I450" s="12" t="str">
        <f>IF(A450="","",SUM(Lançamentos!C$9:C450))</f>
        <v/>
      </c>
      <c r="J450" s="13" t="str">
        <f>IF(Lançamentos!J450="","",Lançamentos!J450)</f>
        <v/>
      </c>
    </row>
    <row r="451" spans="1:10" ht="23.1" customHeight="1">
      <c r="A451" s="1" t="str">
        <f>IF(ISNUMBER(Lançamentos!A451),Lançamentos!A451,"")</f>
        <v/>
      </c>
      <c r="B451" s="1" t="str">
        <f>IF(Lançamentos!B451="","",Lançamentos!B451)</f>
        <v/>
      </c>
      <c r="C451" s="12" t="str">
        <f>IF(ISNUMBER(Lançamentos!C451),Lançamentos!C451,"")</f>
        <v/>
      </c>
      <c r="D451" s="10" t="str">
        <f>IF(A451="","",SUM(Lançamentos!D$9:D451))</f>
        <v/>
      </c>
      <c r="E451" s="1"/>
      <c r="F451" s="11" t="str">
        <f>IF(A451="","",SUM(Lançamentos!F$9:F451))</f>
        <v/>
      </c>
      <c r="G451" s="11" t="str">
        <f>IF(A451="","",SUM(Lançamentos!G$9:G451))</f>
        <v/>
      </c>
      <c r="H451" s="11" t="str">
        <f>IF(A451="","",SUM(Lançamentos!H$9:H451))</f>
        <v/>
      </c>
      <c r="I451" s="12" t="str">
        <f>IF(A451="","",SUM(Lançamentos!C$9:C451))</f>
        <v/>
      </c>
      <c r="J451" s="13" t="str">
        <f>IF(Lançamentos!J451="","",Lançamentos!J451)</f>
        <v/>
      </c>
    </row>
    <row r="452" spans="1:10" ht="23.1" customHeight="1">
      <c r="A452" s="1" t="str">
        <f>IF(ISNUMBER(Lançamentos!A452),Lançamentos!A452,"")</f>
        <v/>
      </c>
      <c r="B452" s="1" t="str">
        <f>IF(Lançamentos!B452="","",Lançamentos!B452)</f>
        <v/>
      </c>
      <c r="C452" s="12" t="str">
        <f>IF(ISNUMBER(Lançamentos!C452),Lançamentos!C452,"")</f>
        <v/>
      </c>
      <c r="D452" s="10" t="str">
        <f>IF(A452="","",SUM(Lançamentos!D$9:D452))</f>
        <v/>
      </c>
      <c r="E452" s="1"/>
      <c r="F452" s="11" t="str">
        <f>IF(A452="","",SUM(Lançamentos!F$9:F452))</f>
        <v/>
      </c>
      <c r="G452" s="11" t="str">
        <f>IF(A452="","",SUM(Lançamentos!G$9:G452))</f>
        <v/>
      </c>
      <c r="H452" s="11" t="str">
        <f>IF(A452="","",SUM(Lançamentos!H$9:H452))</f>
        <v/>
      </c>
      <c r="I452" s="12" t="str">
        <f>IF(A452="","",SUM(Lançamentos!C$9:C452))</f>
        <v/>
      </c>
      <c r="J452" s="13" t="str">
        <f>IF(Lançamentos!J452="","",Lançamentos!J452)</f>
        <v/>
      </c>
    </row>
    <row r="453" spans="1:10" ht="23.1" customHeight="1">
      <c r="A453" s="1" t="str">
        <f>IF(ISNUMBER(Lançamentos!A453),Lançamentos!A453,"")</f>
        <v/>
      </c>
      <c r="B453" s="1" t="str">
        <f>IF(Lançamentos!B453="","",Lançamentos!B453)</f>
        <v/>
      </c>
      <c r="C453" s="12" t="str">
        <f>IF(ISNUMBER(Lançamentos!C453),Lançamentos!C453,"")</f>
        <v/>
      </c>
      <c r="D453" s="10" t="str">
        <f>IF(A453="","",SUM(Lançamentos!D$9:D453))</f>
        <v/>
      </c>
      <c r="E453" s="1"/>
      <c r="F453" s="11" t="str">
        <f>IF(A453="","",SUM(Lançamentos!F$9:F453))</f>
        <v/>
      </c>
      <c r="G453" s="11" t="str">
        <f>IF(A453="","",SUM(Lançamentos!G$9:G453))</f>
        <v/>
      </c>
      <c r="H453" s="11" t="str">
        <f>IF(A453="","",SUM(Lançamentos!H$9:H453))</f>
        <v/>
      </c>
      <c r="I453" s="12" t="str">
        <f>IF(A453="","",SUM(Lançamentos!C$9:C453))</f>
        <v/>
      </c>
      <c r="J453" s="13" t="str">
        <f>IF(Lançamentos!J453="","",Lançamentos!J453)</f>
        <v/>
      </c>
    </row>
    <row r="454" spans="1:10" ht="23.1" customHeight="1">
      <c r="A454" s="1" t="str">
        <f>IF(ISNUMBER(Lançamentos!A454),Lançamentos!A454,"")</f>
        <v/>
      </c>
      <c r="B454" s="1" t="str">
        <f>IF(Lançamentos!B454="","",Lançamentos!B454)</f>
        <v/>
      </c>
      <c r="C454" s="12" t="str">
        <f>IF(ISNUMBER(Lançamentos!C454),Lançamentos!C454,"")</f>
        <v/>
      </c>
      <c r="D454" s="10" t="str">
        <f>IF(A454="","",SUM(Lançamentos!D$9:D454))</f>
        <v/>
      </c>
      <c r="E454" s="1"/>
      <c r="F454" s="11" t="str">
        <f>IF(A454="","",SUM(Lançamentos!F$9:F454))</f>
        <v/>
      </c>
      <c r="G454" s="11" t="str">
        <f>IF(A454="","",SUM(Lançamentos!G$9:G454))</f>
        <v/>
      </c>
      <c r="H454" s="11" t="str">
        <f>IF(A454="","",SUM(Lançamentos!H$9:H454))</f>
        <v/>
      </c>
      <c r="I454" s="12" t="str">
        <f>IF(A454="","",SUM(Lançamentos!C$9:C454))</f>
        <v/>
      </c>
      <c r="J454" s="13" t="str">
        <f>IF(Lançamentos!J454="","",Lançamentos!J454)</f>
        <v/>
      </c>
    </row>
    <row r="455" spans="1:10" ht="23.1" customHeight="1">
      <c r="A455" s="1" t="str">
        <f>IF(ISNUMBER(Lançamentos!A455),Lançamentos!A455,"")</f>
        <v/>
      </c>
      <c r="B455" s="1" t="str">
        <f>IF(Lançamentos!B455="","",Lançamentos!B455)</f>
        <v/>
      </c>
      <c r="C455" s="12" t="str">
        <f>IF(ISNUMBER(Lançamentos!C455),Lançamentos!C455,"")</f>
        <v/>
      </c>
      <c r="D455" s="10" t="str">
        <f>IF(A455="","",SUM(Lançamentos!D$9:D455))</f>
        <v/>
      </c>
      <c r="E455" s="1"/>
      <c r="F455" s="11" t="str">
        <f>IF(A455="","",SUM(Lançamentos!F$9:F455))</f>
        <v/>
      </c>
      <c r="G455" s="11" t="str">
        <f>IF(A455="","",SUM(Lançamentos!G$9:G455))</f>
        <v/>
      </c>
      <c r="H455" s="11" t="str">
        <f>IF(A455="","",SUM(Lançamentos!H$9:H455))</f>
        <v/>
      </c>
      <c r="I455" s="12" t="str">
        <f>IF(A455="","",SUM(Lançamentos!C$9:C455))</f>
        <v/>
      </c>
      <c r="J455" s="13" t="str">
        <f>IF(Lançamentos!J455="","",Lançamentos!J455)</f>
        <v/>
      </c>
    </row>
    <row r="456" spans="1:10" ht="23.1" customHeight="1">
      <c r="A456" s="1" t="str">
        <f>IF(ISNUMBER(Lançamentos!A456),Lançamentos!A456,"")</f>
        <v/>
      </c>
      <c r="B456" s="1" t="str">
        <f>IF(Lançamentos!B456="","",Lançamentos!B456)</f>
        <v/>
      </c>
      <c r="C456" s="12" t="str">
        <f>IF(ISNUMBER(Lançamentos!C456),Lançamentos!C456,"")</f>
        <v/>
      </c>
      <c r="D456" s="10" t="str">
        <f>IF(A456="","",SUM(Lançamentos!D$9:D456))</f>
        <v/>
      </c>
      <c r="E456" s="1"/>
      <c r="F456" s="11" t="str">
        <f>IF(A456="","",SUM(Lançamentos!F$9:F456))</f>
        <v/>
      </c>
      <c r="G456" s="11" t="str">
        <f>IF(A456="","",SUM(Lançamentos!G$9:G456))</f>
        <v/>
      </c>
      <c r="H456" s="11" t="str">
        <f>IF(A456="","",SUM(Lançamentos!H$9:H456))</f>
        <v/>
      </c>
      <c r="I456" s="12" t="str">
        <f>IF(A456="","",SUM(Lançamentos!C$9:C456))</f>
        <v/>
      </c>
      <c r="J456" s="13" t="str">
        <f>IF(Lançamentos!J456="","",Lançamentos!J456)</f>
        <v/>
      </c>
    </row>
    <row r="457" spans="1:10" ht="23.1" customHeight="1">
      <c r="A457" s="1" t="str">
        <f>IF(ISNUMBER(Lançamentos!A457),Lançamentos!A457,"")</f>
        <v/>
      </c>
      <c r="B457" s="1" t="str">
        <f>IF(Lançamentos!B457="","",Lançamentos!B457)</f>
        <v/>
      </c>
      <c r="C457" s="12" t="str">
        <f>IF(ISNUMBER(Lançamentos!C457),Lançamentos!C457,"")</f>
        <v/>
      </c>
      <c r="D457" s="10" t="str">
        <f>IF(A457="","",SUM(Lançamentos!D$9:D457))</f>
        <v/>
      </c>
      <c r="E457" s="1"/>
      <c r="F457" s="11" t="str">
        <f>IF(A457="","",SUM(Lançamentos!F$9:F457))</f>
        <v/>
      </c>
      <c r="G457" s="11" t="str">
        <f>IF(A457="","",SUM(Lançamentos!G$9:G457))</f>
        <v/>
      </c>
      <c r="H457" s="11" t="str">
        <f>IF(A457="","",SUM(Lançamentos!H$9:H457))</f>
        <v/>
      </c>
      <c r="I457" s="12" t="str">
        <f>IF(A457="","",SUM(Lançamentos!C$9:C457))</f>
        <v/>
      </c>
      <c r="J457" s="13" t="str">
        <f>IF(Lançamentos!J457="","",Lançamentos!J457)</f>
        <v/>
      </c>
    </row>
    <row r="458" spans="1:10" ht="23.1" customHeight="1">
      <c r="A458" s="1" t="str">
        <f>IF(ISNUMBER(Lançamentos!A458),Lançamentos!A458,"")</f>
        <v/>
      </c>
      <c r="B458" s="1" t="str">
        <f>IF(Lançamentos!B458="","",Lançamentos!B458)</f>
        <v/>
      </c>
      <c r="C458" s="12" t="str">
        <f>IF(ISNUMBER(Lançamentos!C458),Lançamentos!C458,"")</f>
        <v/>
      </c>
      <c r="D458" s="10" t="str">
        <f>IF(A458="","",SUM(Lançamentos!D$9:D458))</f>
        <v/>
      </c>
      <c r="E458" s="1"/>
      <c r="F458" s="11" t="str">
        <f>IF(A458="","",SUM(Lançamentos!F$9:F458))</f>
        <v/>
      </c>
      <c r="G458" s="11" t="str">
        <f>IF(A458="","",SUM(Lançamentos!G$9:G458))</f>
        <v/>
      </c>
      <c r="H458" s="11" t="str">
        <f>IF(A458="","",SUM(Lançamentos!H$9:H458))</f>
        <v/>
      </c>
      <c r="I458" s="12" t="str">
        <f>IF(A458="","",SUM(Lançamentos!C$9:C458))</f>
        <v/>
      </c>
      <c r="J458" s="13" t="str">
        <f>IF(Lançamentos!J458="","",Lançamentos!J458)</f>
        <v/>
      </c>
    </row>
    <row r="459" spans="1:10" ht="23.1" customHeight="1">
      <c r="A459" s="1" t="str">
        <f>IF(ISNUMBER(Lançamentos!A459),Lançamentos!A459,"")</f>
        <v/>
      </c>
      <c r="B459" s="1" t="str">
        <f>IF(Lançamentos!B459="","",Lançamentos!B459)</f>
        <v/>
      </c>
      <c r="C459" s="12" t="str">
        <f>IF(ISNUMBER(Lançamentos!C459),Lançamentos!C459,"")</f>
        <v/>
      </c>
      <c r="D459" s="10" t="str">
        <f>IF(A459="","",SUM(Lançamentos!D$9:D459))</f>
        <v/>
      </c>
      <c r="E459" s="1"/>
      <c r="F459" s="11" t="str">
        <f>IF(A459="","",SUM(Lançamentos!F$9:F459))</f>
        <v/>
      </c>
      <c r="G459" s="11" t="str">
        <f>IF(A459="","",SUM(Lançamentos!G$9:G459))</f>
        <v/>
      </c>
      <c r="H459" s="11" t="str">
        <f>IF(A459="","",SUM(Lançamentos!H$9:H459))</f>
        <v/>
      </c>
      <c r="I459" s="12" t="str">
        <f>IF(A459="","",SUM(Lançamentos!C$9:C459))</f>
        <v/>
      </c>
      <c r="J459" s="13" t="str">
        <f>IF(Lançamentos!J459="","",Lançamentos!J459)</f>
        <v/>
      </c>
    </row>
    <row r="460" spans="1:10" ht="23.1" customHeight="1">
      <c r="A460" s="1" t="str">
        <f>IF(ISNUMBER(Lançamentos!A460),Lançamentos!A460,"")</f>
        <v/>
      </c>
      <c r="B460" s="1" t="str">
        <f>IF(Lançamentos!B460="","",Lançamentos!B460)</f>
        <v/>
      </c>
      <c r="C460" s="12" t="str">
        <f>IF(ISNUMBER(Lançamentos!C460),Lançamentos!C460,"")</f>
        <v/>
      </c>
      <c r="D460" s="10" t="str">
        <f>IF(A460="","",SUM(Lançamentos!D$9:D460))</f>
        <v/>
      </c>
      <c r="E460" s="1"/>
      <c r="F460" s="11" t="str">
        <f>IF(A460="","",SUM(Lançamentos!F$9:F460))</f>
        <v/>
      </c>
      <c r="G460" s="11" t="str">
        <f>IF(A460="","",SUM(Lançamentos!G$9:G460))</f>
        <v/>
      </c>
      <c r="H460" s="11" t="str">
        <f>IF(A460="","",SUM(Lançamentos!H$9:H460))</f>
        <v/>
      </c>
      <c r="I460" s="12" t="str">
        <f>IF(A460="","",SUM(Lançamentos!C$9:C460))</f>
        <v/>
      </c>
      <c r="J460" s="13" t="str">
        <f>IF(Lançamentos!J460="","",Lançamentos!J460)</f>
        <v/>
      </c>
    </row>
    <row r="461" spans="1:10" ht="23.1" customHeight="1">
      <c r="A461" s="1" t="str">
        <f>IF(ISNUMBER(Lançamentos!A461),Lançamentos!A461,"")</f>
        <v/>
      </c>
      <c r="B461" s="1" t="str">
        <f>IF(Lançamentos!B461="","",Lançamentos!B461)</f>
        <v/>
      </c>
      <c r="C461" s="12" t="str">
        <f>IF(ISNUMBER(Lançamentos!C461),Lançamentos!C461,"")</f>
        <v/>
      </c>
      <c r="D461" s="10" t="str">
        <f>IF(A461="","",SUM(Lançamentos!D$9:D461))</f>
        <v/>
      </c>
      <c r="E461" s="1"/>
      <c r="F461" s="11" t="str">
        <f>IF(A461="","",SUM(Lançamentos!F$9:F461))</f>
        <v/>
      </c>
      <c r="G461" s="11" t="str">
        <f>IF(A461="","",SUM(Lançamentos!G$9:G461))</f>
        <v/>
      </c>
      <c r="H461" s="11" t="str">
        <f>IF(A461="","",SUM(Lançamentos!H$9:H461))</f>
        <v/>
      </c>
      <c r="I461" s="12" t="str">
        <f>IF(A461="","",SUM(Lançamentos!C$9:C461))</f>
        <v/>
      </c>
      <c r="J461" s="13" t="str">
        <f>IF(Lançamentos!J461="","",Lançamentos!J461)</f>
        <v/>
      </c>
    </row>
    <row r="462" spans="1:10" ht="23.1" customHeight="1">
      <c r="A462" s="1" t="str">
        <f>IF(ISNUMBER(Lançamentos!A462),Lançamentos!A462,"")</f>
        <v/>
      </c>
      <c r="B462" s="1" t="str">
        <f>IF(Lançamentos!B462="","",Lançamentos!B462)</f>
        <v/>
      </c>
      <c r="C462" s="12" t="str">
        <f>IF(ISNUMBER(Lançamentos!C462),Lançamentos!C462,"")</f>
        <v/>
      </c>
      <c r="D462" s="10" t="str">
        <f>IF(A462="","",SUM(Lançamentos!D$9:D462))</f>
        <v/>
      </c>
      <c r="E462" s="1"/>
      <c r="F462" s="11" t="str">
        <f>IF(A462="","",SUM(Lançamentos!F$9:F462))</f>
        <v/>
      </c>
      <c r="G462" s="11" t="str">
        <f>IF(A462="","",SUM(Lançamentos!G$9:G462))</f>
        <v/>
      </c>
      <c r="H462" s="11" t="str">
        <f>IF(A462="","",SUM(Lançamentos!H$9:H462))</f>
        <v/>
      </c>
      <c r="I462" s="12" t="str">
        <f>IF(A462="","",SUM(Lançamentos!C$9:C462))</f>
        <v/>
      </c>
      <c r="J462" s="13" t="str">
        <f>IF(Lançamentos!J462="","",Lançamentos!J462)</f>
        <v/>
      </c>
    </row>
    <row r="463" spans="1:10" ht="23.1" customHeight="1">
      <c r="A463" s="1" t="str">
        <f>IF(ISNUMBER(Lançamentos!A463),Lançamentos!A463,"")</f>
        <v/>
      </c>
      <c r="B463" s="1" t="str">
        <f>IF(Lançamentos!B463="","",Lançamentos!B463)</f>
        <v/>
      </c>
      <c r="C463" s="12" t="str">
        <f>IF(ISNUMBER(Lançamentos!C463),Lançamentos!C463,"")</f>
        <v/>
      </c>
      <c r="D463" s="10" t="str">
        <f>IF(A463="","",SUM(Lançamentos!D$9:D463))</f>
        <v/>
      </c>
      <c r="E463" s="1"/>
      <c r="F463" s="11" t="str">
        <f>IF(A463="","",SUM(Lançamentos!F$9:F463))</f>
        <v/>
      </c>
      <c r="G463" s="11" t="str">
        <f>IF(A463="","",SUM(Lançamentos!G$9:G463))</f>
        <v/>
      </c>
      <c r="H463" s="11" t="str">
        <f>IF(A463="","",SUM(Lançamentos!H$9:H463))</f>
        <v/>
      </c>
      <c r="I463" s="12" t="str">
        <f>IF(A463="","",SUM(Lançamentos!C$9:C463))</f>
        <v/>
      </c>
      <c r="J463" s="13" t="str">
        <f>IF(Lançamentos!J463="","",Lançamentos!J463)</f>
        <v/>
      </c>
    </row>
    <row r="464" spans="1:10" ht="23.1" customHeight="1">
      <c r="A464" s="1" t="str">
        <f>IF(ISNUMBER(Lançamentos!A464),Lançamentos!A464,"")</f>
        <v/>
      </c>
      <c r="B464" s="1" t="str">
        <f>IF(Lançamentos!B464="","",Lançamentos!B464)</f>
        <v/>
      </c>
      <c r="C464" s="12" t="str">
        <f>IF(ISNUMBER(Lançamentos!C464),Lançamentos!C464,"")</f>
        <v/>
      </c>
      <c r="D464" s="10" t="str">
        <f>IF(A464="","",SUM(Lançamentos!D$9:D464))</f>
        <v/>
      </c>
      <c r="E464" s="1"/>
      <c r="F464" s="11" t="str">
        <f>IF(A464="","",SUM(Lançamentos!F$9:F464))</f>
        <v/>
      </c>
      <c r="G464" s="11" t="str">
        <f>IF(A464="","",SUM(Lançamentos!G$9:G464))</f>
        <v/>
      </c>
      <c r="H464" s="11" t="str">
        <f>IF(A464="","",SUM(Lançamentos!H$9:H464))</f>
        <v/>
      </c>
      <c r="I464" s="12" t="str">
        <f>IF(A464="","",SUM(Lançamentos!C$9:C464))</f>
        <v/>
      </c>
      <c r="J464" s="13" t="str">
        <f>IF(Lançamentos!J464="","",Lançamentos!J464)</f>
        <v/>
      </c>
    </row>
    <row r="465" spans="1:10" ht="23.1" customHeight="1">
      <c r="A465" s="1" t="str">
        <f>IF(ISNUMBER(Lançamentos!A465),Lançamentos!A465,"")</f>
        <v/>
      </c>
      <c r="B465" s="1" t="str">
        <f>IF(Lançamentos!B465="","",Lançamentos!B465)</f>
        <v/>
      </c>
      <c r="C465" s="12" t="str">
        <f>IF(ISNUMBER(Lançamentos!C465),Lançamentos!C465,"")</f>
        <v/>
      </c>
      <c r="D465" s="10" t="str">
        <f>IF(A465="","",SUM(Lançamentos!D$9:D465))</f>
        <v/>
      </c>
      <c r="E465" s="1"/>
      <c r="F465" s="11" t="str">
        <f>IF(A465="","",SUM(Lançamentos!F$9:F465))</f>
        <v/>
      </c>
      <c r="G465" s="11" t="str">
        <f>IF(A465="","",SUM(Lançamentos!G$9:G465))</f>
        <v/>
      </c>
      <c r="H465" s="11" t="str">
        <f>IF(A465="","",SUM(Lançamentos!H$9:H465))</f>
        <v/>
      </c>
      <c r="I465" s="12" t="str">
        <f>IF(A465="","",SUM(Lançamentos!C$9:C465))</f>
        <v/>
      </c>
      <c r="J465" s="13" t="str">
        <f>IF(Lançamentos!J465="","",Lançamentos!J465)</f>
        <v/>
      </c>
    </row>
    <row r="466" spans="1:10" ht="23.1" customHeight="1">
      <c r="A466" s="1" t="str">
        <f>IF(ISNUMBER(Lançamentos!A466),Lançamentos!A466,"")</f>
        <v/>
      </c>
      <c r="B466" s="1" t="str">
        <f>IF(Lançamentos!B466="","",Lançamentos!B466)</f>
        <v/>
      </c>
      <c r="C466" s="12" t="str">
        <f>IF(ISNUMBER(Lançamentos!C466),Lançamentos!C466,"")</f>
        <v/>
      </c>
      <c r="D466" s="10" t="str">
        <f>IF(A466="","",SUM(Lançamentos!D$9:D466))</f>
        <v/>
      </c>
      <c r="E466" s="1"/>
      <c r="F466" s="11" t="str">
        <f>IF(A466="","",SUM(Lançamentos!F$9:F466))</f>
        <v/>
      </c>
      <c r="G466" s="11" t="str">
        <f>IF(A466="","",SUM(Lançamentos!G$9:G466))</f>
        <v/>
      </c>
      <c r="H466" s="11" t="str">
        <f>IF(A466="","",SUM(Lançamentos!H$9:H466))</f>
        <v/>
      </c>
      <c r="I466" s="12" t="str">
        <f>IF(A466="","",SUM(Lançamentos!C$9:C466))</f>
        <v/>
      </c>
      <c r="J466" s="13" t="str">
        <f>IF(Lançamentos!J466="","",Lançamentos!J466)</f>
        <v/>
      </c>
    </row>
    <row r="467" spans="1:10" ht="23.1" customHeight="1">
      <c r="A467" s="1" t="str">
        <f>IF(ISNUMBER(Lançamentos!A467),Lançamentos!A467,"")</f>
        <v/>
      </c>
      <c r="B467" s="1" t="str">
        <f>IF(Lançamentos!B467="","",Lançamentos!B467)</f>
        <v/>
      </c>
      <c r="C467" s="12" t="str">
        <f>IF(ISNUMBER(Lançamentos!C467),Lançamentos!C467,"")</f>
        <v/>
      </c>
      <c r="D467" s="10" t="str">
        <f>IF(A467="","",SUM(Lançamentos!D$9:D467))</f>
        <v/>
      </c>
      <c r="E467" s="1"/>
      <c r="F467" s="11" t="str">
        <f>IF(A467="","",SUM(Lançamentos!F$9:F467))</f>
        <v/>
      </c>
      <c r="G467" s="11" t="str">
        <f>IF(A467="","",SUM(Lançamentos!G$9:G467))</f>
        <v/>
      </c>
      <c r="H467" s="11" t="str">
        <f>IF(A467="","",SUM(Lançamentos!H$9:H467))</f>
        <v/>
      </c>
      <c r="I467" s="12" t="str">
        <f>IF(A467="","",SUM(Lançamentos!C$9:C467))</f>
        <v/>
      </c>
      <c r="J467" s="13" t="str">
        <f>IF(Lançamentos!J467="","",Lançamentos!J467)</f>
        <v/>
      </c>
    </row>
    <row r="468" spans="1:10" ht="23.1" customHeight="1">
      <c r="A468" s="1" t="str">
        <f>IF(ISNUMBER(Lançamentos!A468),Lançamentos!A468,"")</f>
        <v/>
      </c>
      <c r="B468" s="1" t="str">
        <f>IF(Lançamentos!B468="","",Lançamentos!B468)</f>
        <v/>
      </c>
      <c r="C468" s="12" t="str">
        <f>IF(ISNUMBER(Lançamentos!C468),Lançamentos!C468,"")</f>
        <v/>
      </c>
      <c r="D468" s="10" t="str">
        <f>IF(A468="","",SUM(Lançamentos!D$9:D468))</f>
        <v/>
      </c>
      <c r="E468" s="1"/>
      <c r="F468" s="11" t="str">
        <f>IF(A468="","",SUM(Lançamentos!F$9:F468))</f>
        <v/>
      </c>
      <c r="G468" s="11" t="str">
        <f>IF(A468="","",SUM(Lançamentos!G$9:G468))</f>
        <v/>
      </c>
      <c r="H468" s="11" t="str">
        <f>IF(A468="","",SUM(Lançamentos!H$9:H468))</f>
        <v/>
      </c>
      <c r="I468" s="12" t="str">
        <f>IF(A468="","",SUM(Lançamentos!C$9:C468))</f>
        <v/>
      </c>
      <c r="J468" s="13" t="str">
        <f>IF(Lançamentos!J468="","",Lançamentos!J468)</f>
        <v/>
      </c>
    </row>
    <row r="469" spans="1:10" ht="23.1" customHeight="1">
      <c r="A469" s="1" t="str">
        <f>IF(ISNUMBER(Lançamentos!A469),Lançamentos!A469,"")</f>
        <v/>
      </c>
      <c r="B469" s="1" t="str">
        <f>IF(Lançamentos!B469="","",Lançamentos!B469)</f>
        <v/>
      </c>
      <c r="C469" s="12" t="str">
        <f>IF(ISNUMBER(Lançamentos!C469),Lançamentos!C469,"")</f>
        <v/>
      </c>
      <c r="D469" s="10" t="str">
        <f>IF(A469="","",SUM(Lançamentos!D$9:D469))</f>
        <v/>
      </c>
      <c r="E469" s="1"/>
      <c r="F469" s="11" t="str">
        <f>IF(A469="","",SUM(Lançamentos!F$9:F469))</f>
        <v/>
      </c>
      <c r="G469" s="11" t="str">
        <f>IF(A469="","",SUM(Lançamentos!G$9:G469))</f>
        <v/>
      </c>
      <c r="H469" s="11" t="str">
        <f>IF(A469="","",SUM(Lançamentos!H$9:H469))</f>
        <v/>
      </c>
      <c r="I469" s="12" t="str">
        <f>IF(A469="","",SUM(Lançamentos!C$9:C469))</f>
        <v/>
      </c>
      <c r="J469" s="13" t="str">
        <f>IF(Lançamentos!J469="","",Lançamentos!J469)</f>
        <v/>
      </c>
    </row>
    <row r="470" spans="1:10" ht="23.1" customHeight="1">
      <c r="A470" s="1" t="str">
        <f>IF(ISNUMBER(Lançamentos!A470),Lançamentos!A470,"")</f>
        <v/>
      </c>
      <c r="B470" s="1" t="str">
        <f>IF(Lançamentos!B470="","",Lançamentos!B470)</f>
        <v/>
      </c>
      <c r="C470" s="12" t="str">
        <f>IF(ISNUMBER(Lançamentos!C470),Lançamentos!C470,"")</f>
        <v/>
      </c>
      <c r="D470" s="10" t="str">
        <f>IF(A470="","",SUM(Lançamentos!D$9:D470))</f>
        <v/>
      </c>
      <c r="E470" s="1"/>
      <c r="F470" s="11" t="str">
        <f>IF(A470="","",SUM(Lançamentos!F$9:F470))</f>
        <v/>
      </c>
      <c r="G470" s="11" t="str">
        <f>IF(A470="","",SUM(Lançamentos!G$9:G470))</f>
        <v/>
      </c>
      <c r="H470" s="11" t="str">
        <f>IF(A470="","",SUM(Lançamentos!H$9:H470))</f>
        <v/>
      </c>
      <c r="I470" s="12" t="str">
        <f>IF(A470="","",SUM(Lançamentos!C$9:C470))</f>
        <v/>
      </c>
      <c r="J470" s="13" t="str">
        <f>IF(Lançamentos!J470="","",Lançamentos!J470)</f>
        <v/>
      </c>
    </row>
    <row r="471" spans="1:10" ht="23.1" customHeight="1">
      <c r="A471" s="1" t="str">
        <f>IF(ISNUMBER(Lançamentos!A471),Lançamentos!A471,"")</f>
        <v/>
      </c>
      <c r="B471" s="1" t="str">
        <f>IF(Lançamentos!B471="","",Lançamentos!B471)</f>
        <v/>
      </c>
      <c r="C471" s="12" t="str">
        <f>IF(ISNUMBER(Lançamentos!C471),Lançamentos!C471,"")</f>
        <v/>
      </c>
      <c r="D471" s="10" t="str">
        <f>IF(A471="","",SUM(Lançamentos!D$9:D471))</f>
        <v/>
      </c>
      <c r="E471" s="1"/>
      <c r="F471" s="11" t="str">
        <f>IF(A471="","",SUM(Lançamentos!F$9:F471))</f>
        <v/>
      </c>
      <c r="G471" s="11" t="str">
        <f>IF(A471="","",SUM(Lançamentos!G$9:G471))</f>
        <v/>
      </c>
      <c r="H471" s="11" t="str">
        <f>IF(A471="","",SUM(Lançamentos!H$9:H471))</f>
        <v/>
      </c>
      <c r="I471" s="12" t="str">
        <f>IF(A471="","",SUM(Lançamentos!C$9:C471))</f>
        <v/>
      </c>
      <c r="J471" s="13" t="str">
        <f>IF(Lançamentos!J471="","",Lançamentos!J471)</f>
        <v/>
      </c>
    </row>
    <row r="472" spans="1:10" ht="23.1" customHeight="1">
      <c r="A472" s="1" t="str">
        <f>IF(ISNUMBER(Lançamentos!A472),Lançamentos!A472,"")</f>
        <v/>
      </c>
      <c r="B472" s="1" t="str">
        <f>IF(Lançamentos!B472="","",Lançamentos!B472)</f>
        <v/>
      </c>
      <c r="C472" s="12" t="str">
        <f>IF(ISNUMBER(Lançamentos!C472),Lançamentos!C472,"")</f>
        <v/>
      </c>
      <c r="D472" s="10" t="str">
        <f>IF(A472="","",SUM(Lançamentos!D$9:D472))</f>
        <v/>
      </c>
      <c r="E472" s="1"/>
      <c r="F472" s="11" t="str">
        <f>IF(A472="","",SUM(Lançamentos!F$9:F472))</f>
        <v/>
      </c>
      <c r="G472" s="11" t="str">
        <f>IF(A472="","",SUM(Lançamentos!G$9:G472))</f>
        <v/>
      </c>
      <c r="H472" s="11" t="str">
        <f>IF(A472="","",SUM(Lançamentos!H$9:H472))</f>
        <v/>
      </c>
      <c r="I472" s="12" t="str">
        <f>IF(A472="","",SUM(Lançamentos!C$9:C472))</f>
        <v/>
      </c>
      <c r="J472" s="13" t="str">
        <f>IF(Lançamentos!J472="","",Lançamentos!J472)</f>
        <v/>
      </c>
    </row>
    <row r="473" spans="1:10" ht="23.1" customHeight="1">
      <c r="A473" s="1" t="str">
        <f>IF(ISNUMBER(Lançamentos!A473),Lançamentos!A473,"")</f>
        <v/>
      </c>
      <c r="B473" s="1" t="str">
        <f>IF(Lançamentos!B473="","",Lançamentos!B473)</f>
        <v/>
      </c>
      <c r="C473" s="12" t="str">
        <f>IF(ISNUMBER(Lançamentos!C473),Lançamentos!C473,"")</f>
        <v/>
      </c>
      <c r="D473" s="10" t="str">
        <f>IF(A473="","",SUM(Lançamentos!D$9:D473))</f>
        <v/>
      </c>
      <c r="E473" s="1"/>
      <c r="F473" s="11" t="str">
        <f>IF(A473="","",SUM(Lançamentos!F$9:F473))</f>
        <v/>
      </c>
      <c r="G473" s="11" t="str">
        <f>IF(A473="","",SUM(Lançamentos!G$9:G473))</f>
        <v/>
      </c>
      <c r="H473" s="11" t="str">
        <f>IF(A473="","",SUM(Lançamentos!H$9:H473))</f>
        <v/>
      </c>
      <c r="I473" s="12" t="str">
        <f>IF(A473="","",SUM(Lançamentos!C$9:C473))</f>
        <v/>
      </c>
      <c r="J473" s="13" t="str">
        <f>IF(Lançamentos!J473="","",Lançamentos!J473)</f>
        <v/>
      </c>
    </row>
    <row r="474" spans="1:10" ht="23.1" customHeight="1">
      <c r="A474" s="1" t="str">
        <f>IF(ISNUMBER(Lançamentos!A474),Lançamentos!A474,"")</f>
        <v/>
      </c>
      <c r="B474" s="1" t="str">
        <f>IF(Lançamentos!B474="","",Lançamentos!B474)</f>
        <v/>
      </c>
      <c r="C474" s="12" t="str">
        <f>IF(ISNUMBER(Lançamentos!C474),Lançamentos!C474,"")</f>
        <v/>
      </c>
      <c r="D474" s="10" t="str">
        <f>IF(A474="","",SUM(Lançamentos!D$9:D474))</f>
        <v/>
      </c>
      <c r="E474" s="1"/>
      <c r="F474" s="11" t="str">
        <f>IF(A474="","",SUM(Lançamentos!F$9:F474))</f>
        <v/>
      </c>
      <c r="G474" s="11" t="str">
        <f>IF(A474="","",SUM(Lançamentos!G$9:G474))</f>
        <v/>
      </c>
      <c r="H474" s="11" t="str">
        <f>IF(A474="","",SUM(Lançamentos!H$9:H474))</f>
        <v/>
      </c>
      <c r="I474" s="12" t="str">
        <f>IF(A474="","",SUM(Lançamentos!C$9:C474))</f>
        <v/>
      </c>
      <c r="J474" s="13" t="str">
        <f>IF(Lançamentos!J474="","",Lançamentos!J474)</f>
        <v/>
      </c>
    </row>
    <row r="475" spans="1:10" ht="23.1" customHeight="1">
      <c r="A475" s="1" t="str">
        <f>IF(ISNUMBER(Lançamentos!A475),Lançamentos!A475,"")</f>
        <v/>
      </c>
      <c r="B475" s="1" t="str">
        <f>IF(Lançamentos!B475="","",Lançamentos!B475)</f>
        <v/>
      </c>
      <c r="C475" s="12" t="str">
        <f>IF(ISNUMBER(Lançamentos!C475),Lançamentos!C475,"")</f>
        <v/>
      </c>
      <c r="D475" s="10" t="str">
        <f>IF(A475="","",SUM(Lançamentos!D$9:D475))</f>
        <v/>
      </c>
      <c r="E475" s="1"/>
      <c r="F475" s="11" t="str">
        <f>IF(A475="","",SUM(Lançamentos!F$9:F475))</f>
        <v/>
      </c>
      <c r="G475" s="11" t="str">
        <f>IF(A475="","",SUM(Lançamentos!G$9:G475))</f>
        <v/>
      </c>
      <c r="H475" s="11" t="str">
        <f>IF(A475="","",SUM(Lançamentos!H$9:H475))</f>
        <v/>
      </c>
      <c r="I475" s="12" t="str">
        <f>IF(A475="","",SUM(Lançamentos!C$9:C475))</f>
        <v/>
      </c>
      <c r="J475" s="13" t="str">
        <f>IF(Lançamentos!J475="","",Lançamentos!J475)</f>
        <v/>
      </c>
    </row>
    <row r="476" spans="1:10" ht="23.1" customHeight="1">
      <c r="A476" s="1" t="str">
        <f>IF(ISNUMBER(Lançamentos!A476),Lançamentos!A476,"")</f>
        <v/>
      </c>
      <c r="B476" s="1" t="str">
        <f>IF(Lançamentos!B476="","",Lançamentos!B476)</f>
        <v/>
      </c>
      <c r="C476" s="12" t="str">
        <f>IF(ISNUMBER(Lançamentos!C476),Lançamentos!C476,"")</f>
        <v/>
      </c>
      <c r="D476" s="10" t="str">
        <f>IF(A476="","",SUM(Lançamentos!D$9:D476))</f>
        <v/>
      </c>
      <c r="E476" s="1"/>
      <c r="F476" s="11" t="str">
        <f>IF(A476="","",SUM(Lançamentos!F$9:F476))</f>
        <v/>
      </c>
      <c r="G476" s="11" t="str">
        <f>IF(A476="","",SUM(Lançamentos!G$9:G476))</f>
        <v/>
      </c>
      <c r="H476" s="11" t="str">
        <f>IF(A476="","",SUM(Lançamentos!H$9:H476))</f>
        <v/>
      </c>
      <c r="I476" s="12" t="str">
        <f>IF(A476="","",SUM(Lançamentos!C$9:C476))</f>
        <v/>
      </c>
      <c r="J476" s="13" t="str">
        <f>IF(Lançamentos!J476="","",Lançamentos!J476)</f>
        <v/>
      </c>
    </row>
    <row r="477" spans="1:10" ht="23.1" customHeight="1">
      <c r="A477" s="1" t="str">
        <f>IF(ISNUMBER(Lançamentos!A477),Lançamentos!A477,"")</f>
        <v/>
      </c>
      <c r="B477" s="1" t="str">
        <f>IF(Lançamentos!B477="","",Lançamentos!B477)</f>
        <v/>
      </c>
      <c r="C477" s="12" t="str">
        <f>IF(ISNUMBER(Lançamentos!C477),Lançamentos!C477,"")</f>
        <v/>
      </c>
      <c r="D477" s="10" t="str">
        <f>IF(A477="","",SUM(Lançamentos!D$9:D477))</f>
        <v/>
      </c>
      <c r="E477" s="1"/>
      <c r="F477" s="11" t="str">
        <f>IF(A477="","",SUM(Lançamentos!F$9:F477))</f>
        <v/>
      </c>
      <c r="G477" s="11" t="str">
        <f>IF(A477="","",SUM(Lançamentos!G$9:G477))</f>
        <v/>
      </c>
      <c r="H477" s="11" t="str">
        <f>IF(A477="","",SUM(Lançamentos!H$9:H477))</f>
        <v/>
      </c>
      <c r="I477" s="12" t="str">
        <f>IF(A477="","",SUM(Lançamentos!C$9:C477))</f>
        <v/>
      </c>
      <c r="J477" s="13" t="str">
        <f>IF(Lançamentos!J477="","",Lançamentos!J477)</f>
        <v/>
      </c>
    </row>
    <row r="478" spans="1:10" ht="23.1" customHeight="1">
      <c r="A478" s="1" t="str">
        <f>IF(ISNUMBER(Lançamentos!A478),Lançamentos!A478,"")</f>
        <v/>
      </c>
      <c r="B478" s="1" t="str">
        <f>IF(Lançamentos!B478="","",Lançamentos!B478)</f>
        <v/>
      </c>
      <c r="C478" s="12" t="str">
        <f>IF(ISNUMBER(Lançamentos!C478),Lançamentos!C478,"")</f>
        <v/>
      </c>
      <c r="D478" s="10" t="str">
        <f>IF(A478="","",SUM(Lançamentos!D$9:D478))</f>
        <v/>
      </c>
      <c r="E478" s="1"/>
      <c r="F478" s="11" t="str">
        <f>IF(A478="","",SUM(Lançamentos!F$9:F478))</f>
        <v/>
      </c>
      <c r="G478" s="11" t="str">
        <f>IF(A478="","",SUM(Lançamentos!G$9:G478))</f>
        <v/>
      </c>
      <c r="H478" s="11" t="str">
        <f>IF(A478="","",SUM(Lançamentos!H$9:H478))</f>
        <v/>
      </c>
      <c r="I478" s="12" t="str">
        <f>IF(A478="","",SUM(Lançamentos!C$9:C478))</f>
        <v/>
      </c>
      <c r="J478" s="13" t="str">
        <f>IF(Lançamentos!J478="","",Lançamentos!J478)</f>
        <v/>
      </c>
    </row>
    <row r="479" spans="1:10" ht="23.1" customHeight="1">
      <c r="A479" s="1" t="str">
        <f>IF(ISNUMBER(Lançamentos!A479),Lançamentos!A479,"")</f>
        <v/>
      </c>
      <c r="B479" s="1" t="str">
        <f>IF(Lançamentos!B479="","",Lançamentos!B479)</f>
        <v/>
      </c>
      <c r="C479" s="12" t="str">
        <f>IF(ISNUMBER(Lançamentos!C479),Lançamentos!C479,"")</f>
        <v/>
      </c>
      <c r="D479" s="10" t="str">
        <f>IF(A479="","",SUM(Lançamentos!D$9:D479))</f>
        <v/>
      </c>
      <c r="E479" s="1"/>
      <c r="F479" s="11" t="str">
        <f>IF(A479="","",SUM(Lançamentos!F$9:F479))</f>
        <v/>
      </c>
      <c r="G479" s="11" t="str">
        <f>IF(A479="","",SUM(Lançamentos!G$9:G479))</f>
        <v/>
      </c>
      <c r="H479" s="11" t="str">
        <f>IF(A479="","",SUM(Lançamentos!H$9:H479))</f>
        <v/>
      </c>
      <c r="I479" s="12" t="str">
        <f>IF(A479="","",SUM(Lançamentos!C$9:C479))</f>
        <v/>
      </c>
      <c r="J479" s="13" t="str">
        <f>IF(Lançamentos!J479="","",Lançamentos!J479)</f>
        <v/>
      </c>
    </row>
    <row r="480" spans="1:10" ht="23.1" customHeight="1">
      <c r="A480" s="1" t="str">
        <f>IF(ISNUMBER(Lançamentos!A480),Lançamentos!A480,"")</f>
        <v/>
      </c>
      <c r="B480" s="1" t="str">
        <f>IF(Lançamentos!B480="","",Lançamentos!B480)</f>
        <v/>
      </c>
      <c r="C480" s="12" t="str">
        <f>IF(ISNUMBER(Lançamentos!C480),Lançamentos!C480,"")</f>
        <v/>
      </c>
      <c r="D480" s="10" t="str">
        <f>IF(A480="","",SUM(Lançamentos!D$9:D480))</f>
        <v/>
      </c>
      <c r="E480" s="1"/>
      <c r="F480" s="11" t="str">
        <f>IF(A480="","",SUM(Lançamentos!F$9:F480))</f>
        <v/>
      </c>
      <c r="G480" s="11" t="str">
        <f>IF(A480="","",SUM(Lançamentos!G$9:G480))</f>
        <v/>
      </c>
      <c r="H480" s="11" t="str">
        <f>IF(A480="","",SUM(Lançamentos!H$9:H480))</f>
        <v/>
      </c>
      <c r="I480" s="12" t="str">
        <f>IF(A480="","",SUM(Lançamentos!C$9:C480))</f>
        <v/>
      </c>
      <c r="J480" s="13" t="str">
        <f>IF(Lançamentos!J480="","",Lançamentos!J480)</f>
        <v/>
      </c>
    </row>
    <row r="481" spans="1:10" ht="23.1" customHeight="1">
      <c r="A481" s="1" t="str">
        <f>IF(ISNUMBER(Lançamentos!A481),Lançamentos!A481,"")</f>
        <v/>
      </c>
      <c r="B481" s="1" t="str">
        <f>IF(Lançamentos!B481="","",Lançamentos!B481)</f>
        <v/>
      </c>
      <c r="C481" s="12" t="str">
        <f>IF(ISNUMBER(Lançamentos!C481),Lançamentos!C481,"")</f>
        <v/>
      </c>
      <c r="D481" s="10" t="str">
        <f>IF(A481="","",SUM(Lançamentos!D$9:D481))</f>
        <v/>
      </c>
      <c r="E481" s="1"/>
      <c r="F481" s="11" t="str">
        <f>IF(A481="","",SUM(Lançamentos!F$9:F481))</f>
        <v/>
      </c>
      <c r="G481" s="11" t="str">
        <f>IF(A481="","",SUM(Lançamentos!G$9:G481))</f>
        <v/>
      </c>
      <c r="H481" s="11" t="str">
        <f>IF(A481="","",SUM(Lançamentos!H$9:H481))</f>
        <v/>
      </c>
      <c r="I481" s="12" t="str">
        <f>IF(A481="","",SUM(Lançamentos!C$9:C481))</f>
        <v/>
      </c>
      <c r="J481" s="13" t="str">
        <f>IF(Lançamentos!J481="","",Lançamentos!J481)</f>
        <v/>
      </c>
    </row>
    <row r="482" spans="1:10" ht="23.1" customHeight="1">
      <c r="A482" s="1" t="str">
        <f>IF(ISNUMBER(Lançamentos!A482),Lançamentos!A482,"")</f>
        <v/>
      </c>
      <c r="B482" s="1" t="str">
        <f>IF(Lançamentos!B482="","",Lançamentos!B482)</f>
        <v/>
      </c>
      <c r="C482" s="12" t="str">
        <f>IF(ISNUMBER(Lançamentos!C482),Lançamentos!C482,"")</f>
        <v/>
      </c>
      <c r="D482" s="10" t="str">
        <f>IF(A482="","",SUM(Lançamentos!D$9:D482))</f>
        <v/>
      </c>
      <c r="E482" s="1"/>
      <c r="F482" s="11" t="str">
        <f>IF(A482="","",SUM(Lançamentos!F$9:F482))</f>
        <v/>
      </c>
      <c r="G482" s="11" t="str">
        <f>IF(A482="","",SUM(Lançamentos!G$9:G482))</f>
        <v/>
      </c>
      <c r="H482" s="11" t="str">
        <f>IF(A482="","",SUM(Lançamentos!H$9:H482))</f>
        <v/>
      </c>
      <c r="I482" s="12" t="str">
        <f>IF(A482="","",SUM(Lançamentos!C$9:C482))</f>
        <v/>
      </c>
      <c r="J482" s="13" t="str">
        <f>IF(Lançamentos!J482="","",Lançamentos!J482)</f>
        <v/>
      </c>
    </row>
    <row r="483" spans="1:10" ht="23.1" customHeight="1">
      <c r="A483" s="1" t="str">
        <f>IF(ISNUMBER(Lançamentos!A483),Lançamentos!A483,"")</f>
        <v/>
      </c>
      <c r="B483" s="1" t="str">
        <f>IF(Lançamentos!B483="","",Lançamentos!B483)</f>
        <v/>
      </c>
      <c r="C483" s="12" t="str">
        <f>IF(ISNUMBER(Lançamentos!C483),Lançamentos!C483,"")</f>
        <v/>
      </c>
      <c r="D483" s="10" t="str">
        <f>IF(A483="","",SUM(Lançamentos!D$9:D483))</f>
        <v/>
      </c>
      <c r="E483" s="1"/>
      <c r="F483" s="11" t="str">
        <f>IF(A483="","",SUM(Lançamentos!F$9:F483))</f>
        <v/>
      </c>
      <c r="G483" s="11" t="str">
        <f>IF(A483="","",SUM(Lançamentos!G$9:G483))</f>
        <v/>
      </c>
      <c r="H483" s="11" t="str">
        <f>IF(A483="","",SUM(Lançamentos!H$9:H483))</f>
        <v/>
      </c>
      <c r="I483" s="12" t="str">
        <f>IF(A483="","",SUM(Lançamentos!C$9:C483))</f>
        <v/>
      </c>
      <c r="J483" s="13" t="str">
        <f>IF(Lançamentos!J483="","",Lançamentos!J483)</f>
        <v/>
      </c>
    </row>
    <row r="484" spans="1:10" ht="23.1" customHeight="1">
      <c r="A484" s="1" t="str">
        <f>IF(ISNUMBER(Lançamentos!A484),Lançamentos!A484,"")</f>
        <v/>
      </c>
      <c r="B484" s="1" t="str">
        <f>IF(Lançamentos!B484="","",Lançamentos!B484)</f>
        <v/>
      </c>
      <c r="C484" s="12" t="str">
        <f>IF(ISNUMBER(Lançamentos!C484),Lançamentos!C484,"")</f>
        <v/>
      </c>
      <c r="D484" s="10" t="str">
        <f>IF(A484="","",SUM(Lançamentos!D$9:D484))</f>
        <v/>
      </c>
      <c r="E484" s="1"/>
      <c r="F484" s="11" t="str">
        <f>IF(A484="","",SUM(Lançamentos!F$9:F484))</f>
        <v/>
      </c>
      <c r="G484" s="11" t="str">
        <f>IF(A484="","",SUM(Lançamentos!G$9:G484))</f>
        <v/>
      </c>
      <c r="H484" s="11" t="str">
        <f>IF(A484="","",SUM(Lançamentos!H$9:H484))</f>
        <v/>
      </c>
      <c r="I484" s="12" t="str">
        <f>IF(A484="","",SUM(Lançamentos!C$9:C484))</f>
        <v/>
      </c>
      <c r="J484" s="13" t="str">
        <f>IF(Lançamentos!J484="","",Lançamentos!J484)</f>
        <v/>
      </c>
    </row>
    <row r="485" spans="1:10" ht="23.1" customHeight="1">
      <c r="A485" s="1" t="str">
        <f>IF(ISNUMBER(Lançamentos!A485),Lançamentos!A485,"")</f>
        <v/>
      </c>
      <c r="B485" s="1" t="str">
        <f>IF(Lançamentos!B485="","",Lançamentos!B485)</f>
        <v/>
      </c>
      <c r="C485" s="12" t="str">
        <f>IF(ISNUMBER(Lançamentos!C485),Lançamentos!C485,"")</f>
        <v/>
      </c>
      <c r="D485" s="10" t="str">
        <f>IF(A485="","",SUM(Lançamentos!D$9:D485))</f>
        <v/>
      </c>
      <c r="E485" s="1"/>
      <c r="F485" s="11" t="str">
        <f>IF(A485="","",SUM(Lançamentos!F$9:F485))</f>
        <v/>
      </c>
      <c r="G485" s="11" t="str">
        <f>IF(A485="","",SUM(Lançamentos!G$9:G485))</f>
        <v/>
      </c>
      <c r="H485" s="11" t="str">
        <f>IF(A485="","",SUM(Lançamentos!H$9:H485))</f>
        <v/>
      </c>
      <c r="I485" s="12" t="str">
        <f>IF(A485="","",SUM(Lançamentos!C$9:C485))</f>
        <v/>
      </c>
      <c r="J485" s="13" t="str">
        <f>IF(Lançamentos!J485="","",Lançamentos!J485)</f>
        <v/>
      </c>
    </row>
    <row r="486" spans="1:10" ht="23.1" customHeight="1">
      <c r="A486" s="1" t="str">
        <f>IF(ISNUMBER(Lançamentos!A486),Lançamentos!A486,"")</f>
        <v/>
      </c>
      <c r="B486" s="1" t="str">
        <f>IF(Lançamentos!B486="","",Lançamentos!B486)</f>
        <v/>
      </c>
      <c r="C486" s="12" t="str">
        <f>IF(ISNUMBER(Lançamentos!C486),Lançamentos!C486,"")</f>
        <v/>
      </c>
      <c r="D486" s="10" t="str">
        <f>IF(A486="","",SUM(Lançamentos!D$9:D486))</f>
        <v/>
      </c>
      <c r="E486" s="1"/>
      <c r="F486" s="11" t="str">
        <f>IF(A486="","",SUM(Lançamentos!F$9:F486))</f>
        <v/>
      </c>
      <c r="G486" s="11" t="str">
        <f>IF(A486="","",SUM(Lançamentos!G$9:G486))</f>
        <v/>
      </c>
      <c r="H486" s="11" t="str">
        <f>IF(A486="","",SUM(Lançamentos!H$9:H486))</f>
        <v/>
      </c>
      <c r="I486" s="12" t="str">
        <f>IF(A486="","",SUM(Lançamentos!C$9:C486))</f>
        <v/>
      </c>
      <c r="J486" s="13" t="str">
        <f>IF(Lançamentos!J486="","",Lançamentos!J486)</f>
        <v/>
      </c>
    </row>
    <row r="487" spans="1:10" ht="23.1" customHeight="1">
      <c r="A487" s="1" t="str">
        <f>IF(ISNUMBER(Lançamentos!A487),Lançamentos!A487,"")</f>
        <v/>
      </c>
      <c r="B487" s="1" t="str">
        <f>IF(Lançamentos!B487="","",Lançamentos!B487)</f>
        <v/>
      </c>
      <c r="C487" s="12" t="str">
        <f>IF(ISNUMBER(Lançamentos!C487),Lançamentos!C487,"")</f>
        <v/>
      </c>
      <c r="D487" s="10" t="str">
        <f>IF(A487="","",SUM(Lançamentos!D$9:D487))</f>
        <v/>
      </c>
      <c r="E487" s="1"/>
      <c r="F487" s="11" t="str">
        <f>IF(A487="","",SUM(Lançamentos!F$9:F487))</f>
        <v/>
      </c>
      <c r="G487" s="11" t="str">
        <f>IF(A487="","",SUM(Lançamentos!G$9:G487))</f>
        <v/>
      </c>
      <c r="H487" s="11" t="str">
        <f>IF(A487="","",SUM(Lançamentos!H$9:H487))</f>
        <v/>
      </c>
      <c r="I487" s="12" t="str">
        <f>IF(A487="","",SUM(Lançamentos!C$9:C487))</f>
        <v/>
      </c>
      <c r="J487" s="13" t="str">
        <f>IF(Lançamentos!J487="","",Lançamentos!J487)</f>
        <v/>
      </c>
    </row>
    <row r="488" spans="1:10" ht="23.1" customHeight="1">
      <c r="A488" s="1" t="str">
        <f>IF(ISNUMBER(Lançamentos!A488),Lançamentos!A488,"")</f>
        <v/>
      </c>
      <c r="B488" s="1" t="str">
        <f>IF(Lançamentos!B488="","",Lançamentos!B488)</f>
        <v/>
      </c>
      <c r="C488" s="12" t="str">
        <f>IF(ISNUMBER(Lançamentos!C488),Lançamentos!C488,"")</f>
        <v/>
      </c>
      <c r="D488" s="10" t="str">
        <f>IF(A488="","",SUM(Lançamentos!D$9:D488))</f>
        <v/>
      </c>
      <c r="E488" s="1"/>
      <c r="F488" s="11" t="str">
        <f>IF(A488="","",SUM(Lançamentos!F$9:F488))</f>
        <v/>
      </c>
      <c r="G488" s="11" t="str">
        <f>IF(A488="","",SUM(Lançamentos!G$9:G488))</f>
        <v/>
      </c>
      <c r="H488" s="11" t="str">
        <f>IF(A488="","",SUM(Lançamentos!H$9:H488))</f>
        <v/>
      </c>
      <c r="I488" s="12" t="str">
        <f>IF(A488="","",SUM(Lançamentos!C$9:C488))</f>
        <v/>
      </c>
      <c r="J488" s="13" t="str">
        <f>IF(Lançamentos!J488="","",Lançamentos!J488)</f>
        <v/>
      </c>
    </row>
    <row r="489" spans="1:10" ht="23.1" customHeight="1">
      <c r="A489" s="1" t="str">
        <f>IF(ISNUMBER(Lançamentos!A489),Lançamentos!A489,"")</f>
        <v/>
      </c>
      <c r="B489" s="1" t="str">
        <f>IF(Lançamentos!B489="","",Lançamentos!B489)</f>
        <v/>
      </c>
      <c r="C489" s="12" t="str">
        <f>IF(ISNUMBER(Lançamentos!C489),Lançamentos!C489,"")</f>
        <v/>
      </c>
      <c r="D489" s="10" t="str">
        <f>IF(A489="","",SUM(Lançamentos!D$9:D489))</f>
        <v/>
      </c>
      <c r="E489" s="1"/>
      <c r="F489" s="11" t="str">
        <f>IF(A489="","",SUM(Lançamentos!F$9:F489))</f>
        <v/>
      </c>
      <c r="G489" s="11" t="str">
        <f>IF(A489="","",SUM(Lançamentos!G$9:G489))</f>
        <v/>
      </c>
      <c r="H489" s="11" t="str">
        <f>IF(A489="","",SUM(Lançamentos!H$9:H489))</f>
        <v/>
      </c>
      <c r="I489" s="12" t="str">
        <f>IF(A489="","",SUM(Lançamentos!C$9:C489))</f>
        <v/>
      </c>
      <c r="J489" s="13" t="str">
        <f>IF(Lançamentos!J489="","",Lançamentos!J489)</f>
        <v/>
      </c>
    </row>
    <row r="490" spans="1:10" ht="23.1" customHeight="1">
      <c r="A490" s="1" t="str">
        <f>IF(ISNUMBER(Lançamentos!A490),Lançamentos!A490,"")</f>
        <v/>
      </c>
      <c r="B490" s="1" t="str">
        <f>IF(Lançamentos!B490="","",Lançamentos!B490)</f>
        <v/>
      </c>
      <c r="C490" s="12" t="str">
        <f>IF(ISNUMBER(Lançamentos!C490),Lançamentos!C490,"")</f>
        <v/>
      </c>
      <c r="D490" s="10" t="str">
        <f>IF(A490="","",SUM(Lançamentos!D$9:D490))</f>
        <v/>
      </c>
      <c r="E490" s="1"/>
      <c r="F490" s="11" t="str">
        <f>IF(A490="","",SUM(Lançamentos!F$9:F490))</f>
        <v/>
      </c>
      <c r="G490" s="11" t="str">
        <f>IF(A490="","",SUM(Lançamentos!G$9:G490))</f>
        <v/>
      </c>
      <c r="H490" s="11" t="str">
        <f>IF(A490="","",SUM(Lançamentos!H$9:H490))</f>
        <v/>
      </c>
      <c r="I490" s="12" t="str">
        <f>IF(A490="","",SUM(Lançamentos!C$9:C490))</f>
        <v/>
      </c>
      <c r="J490" s="13" t="str">
        <f>IF(Lançamentos!J490="","",Lançamentos!J490)</f>
        <v/>
      </c>
    </row>
    <row r="491" spans="1:10" ht="23.1" customHeight="1">
      <c r="A491" s="1" t="str">
        <f>IF(ISNUMBER(Lançamentos!A491),Lançamentos!A491,"")</f>
        <v/>
      </c>
      <c r="B491" s="1" t="str">
        <f>IF(Lançamentos!B491="","",Lançamentos!B491)</f>
        <v/>
      </c>
      <c r="C491" s="12" t="str">
        <f>IF(ISNUMBER(Lançamentos!C491),Lançamentos!C491,"")</f>
        <v/>
      </c>
      <c r="D491" s="10" t="str">
        <f>IF(A491="","",SUM(Lançamentos!D$9:D491))</f>
        <v/>
      </c>
      <c r="E491" s="1"/>
      <c r="F491" s="11" t="str">
        <f>IF(A491="","",SUM(Lançamentos!F$9:F491))</f>
        <v/>
      </c>
      <c r="G491" s="11" t="str">
        <f>IF(A491="","",SUM(Lançamentos!G$9:G491))</f>
        <v/>
      </c>
      <c r="H491" s="11" t="str">
        <f>IF(A491="","",SUM(Lançamentos!H$9:H491))</f>
        <v/>
      </c>
      <c r="I491" s="12" t="str">
        <f>IF(A491="","",SUM(Lançamentos!C$9:C491))</f>
        <v/>
      </c>
      <c r="J491" s="13" t="str">
        <f>IF(Lançamentos!J491="","",Lançamentos!J491)</f>
        <v/>
      </c>
    </row>
    <row r="492" spans="1:10" ht="23.1" customHeight="1">
      <c r="A492" s="1" t="str">
        <f>IF(ISNUMBER(Lançamentos!A492),Lançamentos!A492,"")</f>
        <v/>
      </c>
      <c r="B492" s="1" t="str">
        <f>IF(Lançamentos!B492="","",Lançamentos!B492)</f>
        <v/>
      </c>
      <c r="C492" s="12" t="str">
        <f>IF(ISNUMBER(Lançamentos!C492),Lançamentos!C492,"")</f>
        <v/>
      </c>
      <c r="D492" s="10" t="str">
        <f>IF(A492="","",SUM(Lançamentos!D$9:D492))</f>
        <v/>
      </c>
      <c r="E492" s="1"/>
      <c r="F492" s="11" t="str">
        <f>IF(A492="","",SUM(Lançamentos!F$9:F492))</f>
        <v/>
      </c>
      <c r="G492" s="11" t="str">
        <f>IF(A492="","",SUM(Lançamentos!G$9:G492))</f>
        <v/>
      </c>
      <c r="H492" s="11" t="str">
        <f>IF(A492="","",SUM(Lançamentos!H$9:H492))</f>
        <v/>
      </c>
      <c r="I492" s="12" t="str">
        <f>IF(A492="","",SUM(Lançamentos!C$9:C492))</f>
        <v/>
      </c>
      <c r="J492" s="13" t="str">
        <f>IF(Lançamentos!J492="","",Lançamentos!J492)</f>
        <v/>
      </c>
    </row>
    <row r="493" spans="1:10" ht="23.1" customHeight="1">
      <c r="A493" s="1" t="str">
        <f>IF(ISNUMBER(Lançamentos!A493),Lançamentos!A493,"")</f>
        <v/>
      </c>
      <c r="B493" s="1" t="str">
        <f>IF(Lançamentos!B493="","",Lançamentos!B493)</f>
        <v/>
      </c>
      <c r="C493" s="12" t="str">
        <f>IF(ISNUMBER(Lançamentos!C493),Lançamentos!C493,"")</f>
        <v/>
      </c>
      <c r="D493" s="10" t="str">
        <f>IF(A493="","",SUM(Lançamentos!D$9:D493))</f>
        <v/>
      </c>
      <c r="E493" s="1"/>
      <c r="F493" s="11" t="str">
        <f>IF(A493="","",SUM(Lançamentos!F$9:F493))</f>
        <v/>
      </c>
      <c r="G493" s="11" t="str">
        <f>IF(A493="","",SUM(Lançamentos!G$9:G493))</f>
        <v/>
      </c>
      <c r="H493" s="11" t="str">
        <f>IF(A493="","",SUM(Lançamentos!H$9:H493))</f>
        <v/>
      </c>
      <c r="I493" s="12" t="str">
        <f>IF(A493="","",SUM(Lançamentos!C$9:C493))</f>
        <v/>
      </c>
      <c r="J493" s="13" t="str">
        <f>IF(Lançamentos!J493="","",Lançamentos!J493)</f>
        <v/>
      </c>
    </row>
    <row r="494" spans="1:10" ht="23.1" customHeight="1">
      <c r="A494" s="1" t="str">
        <f>IF(ISNUMBER(Lançamentos!A494),Lançamentos!A494,"")</f>
        <v/>
      </c>
      <c r="B494" s="1" t="str">
        <f>IF(Lançamentos!B494="","",Lançamentos!B494)</f>
        <v/>
      </c>
      <c r="C494" s="12" t="str">
        <f>IF(ISNUMBER(Lançamentos!C494),Lançamentos!C494,"")</f>
        <v/>
      </c>
      <c r="D494" s="10" t="str">
        <f>IF(A494="","",SUM(Lançamentos!D$9:D494))</f>
        <v/>
      </c>
      <c r="E494" s="1"/>
      <c r="F494" s="11" t="str">
        <f>IF(A494="","",SUM(Lançamentos!F$9:F494))</f>
        <v/>
      </c>
      <c r="G494" s="11" t="str">
        <f>IF(A494="","",SUM(Lançamentos!G$9:G494))</f>
        <v/>
      </c>
      <c r="H494" s="11" t="str">
        <f>IF(A494="","",SUM(Lançamentos!H$9:H494))</f>
        <v/>
      </c>
      <c r="I494" s="12" t="str">
        <f>IF(A494="","",SUM(Lançamentos!C$9:C494))</f>
        <v/>
      </c>
      <c r="J494" s="13" t="str">
        <f>IF(Lançamentos!J494="","",Lançamentos!J494)</f>
        <v/>
      </c>
    </row>
    <row r="495" spans="1:10" ht="23.1" customHeight="1">
      <c r="A495" s="1" t="str">
        <f>IF(ISNUMBER(Lançamentos!A495),Lançamentos!A495,"")</f>
        <v/>
      </c>
      <c r="B495" s="1" t="str">
        <f>IF(Lançamentos!B495="","",Lançamentos!B495)</f>
        <v/>
      </c>
      <c r="C495" s="12" t="str">
        <f>IF(ISNUMBER(Lançamentos!C495),Lançamentos!C495,"")</f>
        <v/>
      </c>
      <c r="D495" s="10" t="str">
        <f>IF(A495="","",SUM(Lançamentos!D$9:D495))</f>
        <v/>
      </c>
      <c r="E495" s="1"/>
      <c r="F495" s="11" t="str">
        <f>IF(A495="","",SUM(Lançamentos!F$9:F495))</f>
        <v/>
      </c>
      <c r="G495" s="11" t="str">
        <f>IF(A495="","",SUM(Lançamentos!G$9:G495))</f>
        <v/>
      </c>
      <c r="H495" s="11" t="str">
        <f>IF(A495="","",SUM(Lançamentos!H$9:H495))</f>
        <v/>
      </c>
      <c r="I495" s="12" t="str">
        <f>IF(A495="","",SUM(Lançamentos!C$9:C495))</f>
        <v/>
      </c>
      <c r="J495" s="13" t="str">
        <f>IF(Lançamentos!J495="","",Lançamentos!J495)</f>
        <v/>
      </c>
    </row>
    <row r="496" spans="1:10" ht="23.1" customHeight="1">
      <c r="A496" s="1" t="str">
        <f>IF(ISNUMBER(Lançamentos!A496),Lançamentos!A496,"")</f>
        <v/>
      </c>
      <c r="B496" s="1" t="str">
        <f>IF(Lançamentos!B496="","",Lançamentos!B496)</f>
        <v/>
      </c>
      <c r="C496" s="12" t="str">
        <f>IF(ISNUMBER(Lançamentos!C496),Lançamentos!C496,"")</f>
        <v/>
      </c>
      <c r="D496" s="10" t="str">
        <f>IF(A496="","",SUM(Lançamentos!D$9:D496))</f>
        <v/>
      </c>
      <c r="E496" s="1"/>
      <c r="F496" s="11" t="str">
        <f>IF(A496="","",SUM(Lançamentos!F$9:F496))</f>
        <v/>
      </c>
      <c r="G496" s="11" t="str">
        <f>IF(A496="","",SUM(Lançamentos!G$9:G496))</f>
        <v/>
      </c>
      <c r="H496" s="11" t="str">
        <f>IF(A496="","",SUM(Lançamentos!H$9:H496))</f>
        <v/>
      </c>
      <c r="I496" s="12" t="str">
        <f>IF(A496="","",SUM(Lançamentos!C$9:C496))</f>
        <v/>
      </c>
      <c r="J496" s="13" t="str">
        <f>IF(Lançamentos!J496="","",Lançamentos!J496)</f>
        <v/>
      </c>
    </row>
    <row r="497" spans="1:10" ht="23.1" customHeight="1">
      <c r="A497" s="1" t="str">
        <f>IF(ISNUMBER(Lançamentos!A497),Lançamentos!A497,"")</f>
        <v/>
      </c>
      <c r="B497" s="1" t="str">
        <f>IF(Lançamentos!B497="","",Lançamentos!B497)</f>
        <v/>
      </c>
      <c r="C497" s="12" t="str">
        <f>IF(ISNUMBER(Lançamentos!C497),Lançamentos!C497,"")</f>
        <v/>
      </c>
      <c r="D497" s="10" t="str">
        <f>IF(A497="","",SUM(Lançamentos!D$9:D497))</f>
        <v/>
      </c>
      <c r="E497" s="1"/>
      <c r="F497" s="11" t="str">
        <f>IF(A497="","",SUM(Lançamentos!F$9:F497))</f>
        <v/>
      </c>
      <c r="G497" s="11" t="str">
        <f>IF(A497="","",SUM(Lançamentos!G$9:G497))</f>
        <v/>
      </c>
      <c r="H497" s="11" t="str">
        <f>IF(A497="","",SUM(Lançamentos!H$9:H497))</f>
        <v/>
      </c>
      <c r="I497" s="12" t="str">
        <f>IF(A497="","",SUM(Lançamentos!C$9:C497))</f>
        <v/>
      </c>
      <c r="J497" s="13" t="str">
        <f>IF(Lançamentos!J497="","",Lançamentos!J497)</f>
        <v/>
      </c>
    </row>
    <row r="498" spans="1:10" ht="23.1" customHeight="1">
      <c r="A498" s="1" t="str">
        <f>IF(ISNUMBER(Lançamentos!A498),Lançamentos!A498,"")</f>
        <v/>
      </c>
      <c r="B498" s="1" t="str">
        <f>IF(Lançamentos!B498="","",Lançamentos!B498)</f>
        <v/>
      </c>
      <c r="C498" s="12" t="str">
        <f>IF(ISNUMBER(Lançamentos!C498),Lançamentos!C498,"")</f>
        <v/>
      </c>
      <c r="D498" s="10" t="str">
        <f>IF(A498="","",SUM(Lançamentos!D$9:D498))</f>
        <v/>
      </c>
      <c r="E498" s="1"/>
      <c r="F498" s="11" t="str">
        <f>IF(A498="","",SUM(Lançamentos!F$9:F498))</f>
        <v/>
      </c>
      <c r="G498" s="11" t="str">
        <f>IF(A498="","",SUM(Lançamentos!G$9:G498))</f>
        <v/>
      </c>
      <c r="H498" s="11" t="str">
        <f>IF(A498="","",SUM(Lançamentos!H$9:H498))</f>
        <v/>
      </c>
      <c r="I498" s="12" t="str">
        <f>IF(A498="","",SUM(Lançamentos!C$9:C498))</f>
        <v/>
      </c>
      <c r="J498" s="13" t="str">
        <f>IF(Lançamentos!J498="","",Lançamentos!J498)</f>
        <v/>
      </c>
    </row>
    <row r="499" spans="1:10" ht="23.1" customHeight="1">
      <c r="A499" s="1" t="str">
        <f>IF(ISNUMBER(Lançamentos!A499),Lançamentos!A499,"")</f>
        <v/>
      </c>
      <c r="B499" s="1" t="str">
        <f>IF(Lançamentos!B499="","",Lançamentos!B499)</f>
        <v/>
      </c>
      <c r="C499" s="12" t="str">
        <f>IF(ISNUMBER(Lançamentos!C499),Lançamentos!C499,"")</f>
        <v/>
      </c>
      <c r="D499" s="10" t="str">
        <f>IF(A499="","",SUM(Lançamentos!D$9:D499))</f>
        <v/>
      </c>
      <c r="E499" s="1"/>
      <c r="F499" s="11" t="str">
        <f>IF(A499="","",SUM(Lançamentos!F$9:F499))</f>
        <v/>
      </c>
      <c r="G499" s="11" t="str">
        <f>IF(A499="","",SUM(Lançamentos!G$9:G499))</f>
        <v/>
      </c>
      <c r="H499" s="11" t="str">
        <f>IF(A499="","",SUM(Lançamentos!H$9:H499))</f>
        <v/>
      </c>
      <c r="I499" s="12" t="str">
        <f>IF(A499="","",SUM(Lançamentos!C$9:C499))</f>
        <v/>
      </c>
      <c r="J499" s="13" t="str">
        <f>IF(Lançamentos!J499="","",Lançamentos!J499)</f>
        <v/>
      </c>
    </row>
    <row r="500" spans="1:10" ht="23.1" customHeight="1">
      <c r="A500" s="1" t="str">
        <f>IF(ISNUMBER(Lançamentos!A500),Lançamentos!A500,"")</f>
        <v/>
      </c>
      <c r="B500" s="1" t="str">
        <f>IF(Lançamentos!B500="","",Lançamentos!B500)</f>
        <v/>
      </c>
      <c r="C500" s="12" t="str">
        <f>IF(ISNUMBER(Lançamentos!C500),Lançamentos!C500,"")</f>
        <v/>
      </c>
      <c r="D500" s="10" t="str">
        <f>IF(A500="","",SUM(Lançamentos!D$9:D500))</f>
        <v/>
      </c>
      <c r="E500" s="1"/>
      <c r="F500" s="11" t="str">
        <f>IF(A500="","",SUM(Lançamentos!F$9:F500))</f>
        <v/>
      </c>
      <c r="G500" s="11" t="str">
        <f>IF(A500="","",SUM(Lançamentos!G$9:G500))</f>
        <v/>
      </c>
      <c r="H500" s="11" t="str">
        <f>IF(A500="","",SUM(Lançamentos!H$9:H500))</f>
        <v/>
      </c>
      <c r="I500" s="12" t="str">
        <f>IF(A500="","",SUM(Lançamentos!C$9:C500))</f>
        <v/>
      </c>
      <c r="J500" s="13" t="str">
        <f>IF(Lançamentos!J500="","",Lançamentos!J500)</f>
        <v/>
      </c>
    </row>
    <row r="501" spans="1:10" ht="23.1" customHeight="1">
      <c r="A501" s="1" t="str">
        <f>IF(ISNUMBER(Lançamentos!A501),Lançamentos!A501,"")</f>
        <v/>
      </c>
      <c r="B501" s="1" t="str">
        <f>IF(Lançamentos!B501="","",Lançamentos!B501)</f>
        <v/>
      </c>
      <c r="C501" s="12" t="str">
        <f>IF(ISNUMBER(Lançamentos!C501),Lançamentos!C501,"")</f>
        <v/>
      </c>
      <c r="D501" s="10" t="str">
        <f>IF(A501="","",SUM(Lançamentos!D$9:D501))</f>
        <v/>
      </c>
      <c r="E501" s="1"/>
      <c r="F501" s="11" t="str">
        <f>IF(A501="","",SUM(Lançamentos!F$9:F501))</f>
        <v/>
      </c>
      <c r="G501" s="11" t="str">
        <f>IF(A501="","",SUM(Lançamentos!G$9:G501))</f>
        <v/>
      </c>
      <c r="H501" s="11" t="str">
        <f>IF(A501="","",SUM(Lançamentos!H$9:H501))</f>
        <v/>
      </c>
      <c r="I501" s="12" t="str">
        <f>IF(A501="","",SUM(Lançamentos!C$9:C501))</f>
        <v/>
      </c>
      <c r="J501" s="13" t="str">
        <f>IF(Lançamentos!J501="","",Lançamentos!J501)</f>
        <v/>
      </c>
    </row>
    <row r="502" spans="1:10" ht="23.1" customHeight="1">
      <c r="A502" s="1" t="str">
        <f>IF(ISNUMBER(Lançamentos!A502),Lançamentos!A502,"")</f>
        <v/>
      </c>
      <c r="B502" s="1" t="str">
        <f>IF(Lançamentos!B502="","",Lançamentos!B502)</f>
        <v/>
      </c>
      <c r="C502" s="12" t="str">
        <f>IF(ISNUMBER(Lançamentos!C502),Lançamentos!C502,"")</f>
        <v/>
      </c>
      <c r="D502" s="10" t="str">
        <f>IF(A502="","",SUM(Lançamentos!D$9:D502))</f>
        <v/>
      </c>
      <c r="E502" s="1"/>
      <c r="F502" s="11" t="str">
        <f>IF(A502="","",SUM(Lançamentos!F$9:F502))</f>
        <v/>
      </c>
      <c r="G502" s="11" t="str">
        <f>IF(A502="","",SUM(Lançamentos!G$9:G502))</f>
        <v/>
      </c>
      <c r="H502" s="11" t="str">
        <f>IF(A502="","",SUM(Lançamentos!H$9:H502))</f>
        <v/>
      </c>
      <c r="I502" s="12" t="str">
        <f>IF(A502="","",SUM(Lançamentos!C$9:C502))</f>
        <v/>
      </c>
      <c r="J502" s="13" t="str">
        <f>IF(Lançamentos!J502="","",Lançamentos!J502)</f>
        <v/>
      </c>
    </row>
    <row r="503" spans="1:10" ht="23.1" customHeight="1">
      <c r="A503" s="1" t="str">
        <f>IF(ISNUMBER(Lançamentos!A503),Lançamentos!A503,"")</f>
        <v/>
      </c>
      <c r="B503" s="1" t="str">
        <f>IF(Lançamentos!B503="","",Lançamentos!B503)</f>
        <v/>
      </c>
      <c r="C503" s="12" t="str">
        <f>IF(ISNUMBER(Lançamentos!C503),Lançamentos!C503,"")</f>
        <v/>
      </c>
      <c r="D503" s="10" t="str">
        <f>IF(A503="","",SUM(Lançamentos!D$9:D503))</f>
        <v/>
      </c>
      <c r="E503" s="1"/>
      <c r="F503" s="11" t="str">
        <f>IF(A503="","",SUM(Lançamentos!F$9:F503))</f>
        <v/>
      </c>
      <c r="G503" s="11" t="str">
        <f>IF(A503="","",SUM(Lançamentos!G$9:G503))</f>
        <v/>
      </c>
      <c r="H503" s="11" t="str">
        <f>IF(A503="","",SUM(Lançamentos!H$9:H503))</f>
        <v/>
      </c>
      <c r="I503" s="12" t="str">
        <f>IF(A503="","",SUM(Lançamentos!C$9:C503))</f>
        <v/>
      </c>
      <c r="J503" s="13" t="str">
        <f>IF(Lançamentos!J503="","",Lançamentos!J503)</f>
        <v/>
      </c>
    </row>
    <row r="504" spans="1:10" ht="23.1" customHeight="1">
      <c r="A504" s="1" t="str">
        <f>IF(ISNUMBER(Lançamentos!A504),Lançamentos!A504,"")</f>
        <v/>
      </c>
      <c r="B504" s="1" t="str">
        <f>IF(Lançamentos!B504="","",Lançamentos!B504)</f>
        <v/>
      </c>
      <c r="C504" s="12" t="str">
        <f>IF(ISNUMBER(Lançamentos!C504),Lançamentos!C504,"")</f>
        <v/>
      </c>
      <c r="D504" s="10" t="str">
        <f>IF(A504="","",SUM(Lançamentos!D$9:D504))</f>
        <v/>
      </c>
      <c r="E504" s="1"/>
      <c r="F504" s="11" t="str">
        <f>IF(A504="","",SUM(Lançamentos!F$9:F504))</f>
        <v/>
      </c>
      <c r="G504" s="11" t="str">
        <f>IF(A504="","",SUM(Lançamentos!G$9:G504))</f>
        <v/>
      </c>
      <c r="H504" s="11" t="str">
        <f>IF(A504="","",SUM(Lançamentos!H$9:H504))</f>
        <v/>
      </c>
      <c r="I504" s="12" t="str">
        <f>IF(A504="","",SUM(Lançamentos!C$9:C504))</f>
        <v/>
      </c>
      <c r="J504" s="13" t="str">
        <f>IF(Lançamentos!J504="","",Lançamentos!J504)</f>
        <v/>
      </c>
    </row>
    <row r="505" spans="1:10" ht="23.1" customHeight="1">
      <c r="A505" s="1" t="str">
        <f>IF(ISNUMBER(Lançamentos!A505),Lançamentos!A505,"")</f>
        <v/>
      </c>
      <c r="B505" s="1" t="str">
        <f>IF(Lançamentos!B505="","",Lançamentos!B505)</f>
        <v/>
      </c>
      <c r="C505" s="12" t="str">
        <f>IF(ISNUMBER(Lançamentos!C505),Lançamentos!C505,"")</f>
        <v/>
      </c>
      <c r="D505" s="10" t="str">
        <f>IF(A505="","",SUM(Lançamentos!D$9:D505))</f>
        <v/>
      </c>
      <c r="E505" s="1"/>
      <c r="F505" s="11" t="str">
        <f>IF(A505="","",SUM(Lançamentos!F$9:F505))</f>
        <v/>
      </c>
      <c r="G505" s="11" t="str">
        <f>IF(A505="","",SUM(Lançamentos!G$9:G505))</f>
        <v/>
      </c>
      <c r="H505" s="11" t="str">
        <f>IF(A505="","",SUM(Lançamentos!H$9:H505))</f>
        <v/>
      </c>
      <c r="I505" s="12" t="str">
        <f>IF(A505="","",SUM(Lançamentos!C$9:C505))</f>
        <v/>
      </c>
      <c r="J505" s="13" t="str">
        <f>IF(Lançamentos!J505="","",Lançamentos!J505)</f>
        <v/>
      </c>
    </row>
    <row r="506" spans="1:10" ht="23.1" customHeight="1">
      <c r="A506" s="1" t="str">
        <f>IF(ISNUMBER(Lançamentos!A506),Lançamentos!A506,"")</f>
        <v/>
      </c>
      <c r="B506" s="1" t="str">
        <f>IF(Lançamentos!B506="","",Lançamentos!B506)</f>
        <v/>
      </c>
      <c r="C506" s="12" t="str">
        <f>IF(ISNUMBER(Lançamentos!C506),Lançamentos!C506,"")</f>
        <v/>
      </c>
      <c r="D506" s="10" t="str">
        <f>IF(A506="","",SUM(Lançamentos!D$9:D506))</f>
        <v/>
      </c>
      <c r="E506" s="1"/>
      <c r="F506" s="11" t="str">
        <f>IF(A506="","",SUM(Lançamentos!F$9:F506))</f>
        <v/>
      </c>
      <c r="G506" s="11" t="str">
        <f>IF(A506="","",SUM(Lançamentos!G$9:G506))</f>
        <v/>
      </c>
      <c r="H506" s="11" t="str">
        <f>IF(A506="","",SUM(Lançamentos!H$9:H506))</f>
        <v/>
      </c>
      <c r="I506" s="12" t="str">
        <f>IF(A506="","",SUM(Lançamentos!C$9:C506))</f>
        <v/>
      </c>
      <c r="J506" s="13" t="str">
        <f>IF(Lançamentos!J506="","",Lançamentos!J506)</f>
        <v/>
      </c>
    </row>
    <row r="507" spans="1:10" ht="23.1" customHeight="1">
      <c r="A507" s="1" t="str">
        <f>IF(ISNUMBER(Lançamentos!A507),Lançamentos!A507,"")</f>
        <v/>
      </c>
      <c r="B507" s="1" t="str">
        <f>IF(Lançamentos!B507="","",Lançamentos!B507)</f>
        <v/>
      </c>
      <c r="C507" s="12" t="str">
        <f>IF(ISNUMBER(Lançamentos!C507),Lançamentos!C507,"")</f>
        <v/>
      </c>
      <c r="D507" s="10" t="str">
        <f>IF(A507="","",SUM(Lançamentos!D$9:D507))</f>
        <v/>
      </c>
      <c r="E507" s="1"/>
      <c r="F507" s="11" t="str">
        <f>IF(A507="","",SUM(Lançamentos!F$9:F507))</f>
        <v/>
      </c>
      <c r="G507" s="11" t="str">
        <f>IF(A507="","",SUM(Lançamentos!G$9:G507))</f>
        <v/>
      </c>
      <c r="H507" s="11" t="str">
        <f>IF(A507="","",SUM(Lançamentos!H$9:H507))</f>
        <v/>
      </c>
      <c r="I507" s="12" t="str">
        <f>IF(A507="","",SUM(Lançamentos!C$9:C507))</f>
        <v/>
      </c>
      <c r="J507" s="13" t="str">
        <f>IF(Lançamentos!J507="","",Lançamentos!J507)</f>
        <v/>
      </c>
    </row>
    <row r="508" spans="1:10" ht="23.1" customHeight="1">
      <c r="A508" s="1" t="str">
        <f>IF(ISNUMBER(Lançamentos!A508),Lançamentos!A508,"")</f>
        <v/>
      </c>
      <c r="B508" s="1" t="str">
        <f>IF(Lançamentos!B508="","",Lançamentos!B508)</f>
        <v/>
      </c>
      <c r="C508" s="12" t="str">
        <f>IF(ISNUMBER(Lançamentos!C508),Lançamentos!C508,"")</f>
        <v/>
      </c>
      <c r="D508" s="10" t="str">
        <f>IF(A508="","",SUM(Lançamentos!D$9:D508))</f>
        <v/>
      </c>
      <c r="E508" s="1"/>
      <c r="F508" s="11" t="str">
        <f>IF(A508="","",SUM(Lançamentos!F$9:F508))</f>
        <v/>
      </c>
      <c r="G508" s="11" t="str">
        <f>IF(A508="","",SUM(Lançamentos!G$9:G508))</f>
        <v/>
      </c>
      <c r="H508" s="11" t="str">
        <f>IF(A508="","",SUM(Lançamentos!H$9:H508))</f>
        <v/>
      </c>
      <c r="I508" s="12" t="str">
        <f>IF(A508="","",SUM(Lançamentos!C$9:C508))</f>
        <v/>
      </c>
      <c r="J508" s="13" t="str">
        <f>IF(Lançamentos!J508="","",Lançamentos!J508)</f>
        <v/>
      </c>
    </row>
    <row r="509" spans="1:10" ht="23.1" customHeight="1">
      <c r="A509" s="1" t="str">
        <f>IF(ISNUMBER(Lançamentos!A509),Lançamentos!A509,"")</f>
        <v/>
      </c>
      <c r="B509" s="1" t="str">
        <f>IF(Lançamentos!B509="","",Lançamentos!B509)</f>
        <v/>
      </c>
      <c r="C509" s="12" t="str">
        <f>IF(ISNUMBER(Lançamentos!C509),Lançamentos!C509,"")</f>
        <v/>
      </c>
      <c r="D509" s="10" t="str">
        <f>IF(A509="","",SUM(Lançamentos!D$9:D509))</f>
        <v/>
      </c>
      <c r="E509" s="1"/>
      <c r="F509" s="11" t="str">
        <f>IF(A509="","",SUM(Lançamentos!F$9:F509))</f>
        <v/>
      </c>
      <c r="G509" s="11" t="str">
        <f>IF(A509="","",SUM(Lançamentos!G$9:G509))</f>
        <v/>
      </c>
      <c r="H509" s="11" t="str">
        <f>IF(A509="","",SUM(Lançamentos!H$9:H509))</f>
        <v/>
      </c>
      <c r="I509" s="12" t="str">
        <f>IF(A509="","",SUM(Lançamentos!C$9:C509))</f>
        <v/>
      </c>
      <c r="J509" s="13" t="str">
        <f>IF(Lançamentos!J509="","",Lançamentos!J509)</f>
        <v/>
      </c>
    </row>
    <row r="510" spans="1:10" ht="23.1" customHeight="1">
      <c r="A510" s="1" t="str">
        <f>IF(ISNUMBER(Lançamentos!A510),Lançamentos!A510,"")</f>
        <v/>
      </c>
      <c r="B510" s="1" t="str">
        <f>IF(Lançamentos!B510="","",Lançamentos!B510)</f>
        <v/>
      </c>
      <c r="C510" s="12" t="str">
        <f>IF(ISNUMBER(Lançamentos!C510),Lançamentos!C510,"")</f>
        <v/>
      </c>
      <c r="D510" s="10" t="str">
        <f>IF(A510="","",SUM(Lançamentos!D$9:D510))</f>
        <v/>
      </c>
      <c r="E510" s="1"/>
      <c r="F510" s="11" t="str">
        <f>IF(A510="","",SUM(Lançamentos!F$9:F510))</f>
        <v/>
      </c>
      <c r="G510" s="11" t="str">
        <f>IF(A510="","",SUM(Lançamentos!G$9:G510))</f>
        <v/>
      </c>
      <c r="H510" s="11" t="str">
        <f>IF(A510="","",SUM(Lançamentos!H$9:H510))</f>
        <v/>
      </c>
      <c r="I510" s="12" t="str">
        <f>IF(A510="","",SUM(Lançamentos!C$9:C510))</f>
        <v/>
      </c>
      <c r="J510" s="13" t="str">
        <f>IF(Lançamentos!J510="","",Lançamentos!J510)</f>
        <v/>
      </c>
    </row>
    <row r="511" spans="1:10" ht="23.1" customHeight="1">
      <c r="A511" s="1" t="str">
        <f>IF(ISNUMBER(Lançamentos!A511),Lançamentos!A511,"")</f>
        <v/>
      </c>
      <c r="B511" s="1" t="str">
        <f>IF(Lançamentos!B511="","",Lançamentos!B511)</f>
        <v/>
      </c>
      <c r="C511" s="12" t="str">
        <f>IF(ISNUMBER(Lançamentos!C511),Lançamentos!C511,"")</f>
        <v/>
      </c>
      <c r="D511" s="10" t="str">
        <f>IF(A511="","",SUM(Lançamentos!D$9:D511))</f>
        <v/>
      </c>
      <c r="E511" s="1"/>
      <c r="F511" s="11" t="str">
        <f>IF(A511="","",SUM(Lançamentos!F$9:F511))</f>
        <v/>
      </c>
      <c r="G511" s="11" t="str">
        <f>IF(A511="","",SUM(Lançamentos!G$9:G511))</f>
        <v/>
      </c>
      <c r="H511" s="11" t="str">
        <f>IF(A511="","",SUM(Lançamentos!H$9:H511))</f>
        <v/>
      </c>
      <c r="I511" s="12" t="str">
        <f>IF(A511="","",SUM(Lançamentos!C$9:C511))</f>
        <v/>
      </c>
      <c r="J511" s="13" t="str">
        <f>IF(Lançamentos!J511="","",Lançamentos!J511)</f>
        <v/>
      </c>
    </row>
    <row r="512" spans="1:10" ht="23.1" customHeight="1">
      <c r="A512" s="1" t="str">
        <f>IF(ISNUMBER(Lançamentos!A512),Lançamentos!A512,"")</f>
        <v/>
      </c>
      <c r="B512" s="1" t="str">
        <f>IF(Lançamentos!B512="","",Lançamentos!B512)</f>
        <v/>
      </c>
      <c r="C512" s="12" t="str">
        <f>IF(ISNUMBER(Lançamentos!C512),Lançamentos!C512,"")</f>
        <v/>
      </c>
      <c r="D512" s="10" t="str">
        <f>IF(A512="","",SUM(Lançamentos!D$9:D512))</f>
        <v/>
      </c>
      <c r="E512" s="1"/>
      <c r="F512" s="11" t="str">
        <f>IF(A512="","",SUM(Lançamentos!F$9:F512))</f>
        <v/>
      </c>
      <c r="G512" s="11" t="str">
        <f>IF(A512="","",SUM(Lançamentos!G$9:G512))</f>
        <v/>
      </c>
      <c r="H512" s="11" t="str">
        <f>IF(A512="","",SUM(Lançamentos!H$9:H512))</f>
        <v/>
      </c>
      <c r="I512" s="12" t="str">
        <f>IF(A512="","",SUM(Lançamentos!C$9:C512))</f>
        <v/>
      </c>
      <c r="J512" s="13" t="str">
        <f>IF(Lançamentos!J512="","",Lançamentos!J512)</f>
        <v/>
      </c>
    </row>
    <row r="513" spans="1:10" ht="23.1" customHeight="1">
      <c r="A513" s="1" t="str">
        <f>IF(ISNUMBER(Lançamentos!A513),Lançamentos!A513,"")</f>
        <v/>
      </c>
      <c r="B513" s="1" t="str">
        <f>IF(Lançamentos!B513="","",Lançamentos!B513)</f>
        <v/>
      </c>
      <c r="C513" s="12" t="str">
        <f>IF(ISNUMBER(Lançamentos!C513),Lançamentos!C513,"")</f>
        <v/>
      </c>
      <c r="D513" s="10" t="str">
        <f>IF(A513="","",SUM(Lançamentos!D$9:D513))</f>
        <v/>
      </c>
      <c r="E513" s="1"/>
      <c r="F513" s="11" t="str">
        <f>IF(A513="","",SUM(Lançamentos!F$9:F513))</f>
        <v/>
      </c>
      <c r="G513" s="11" t="str">
        <f>IF(A513="","",SUM(Lançamentos!G$9:G513))</f>
        <v/>
      </c>
      <c r="H513" s="11" t="str">
        <f>IF(A513="","",SUM(Lançamentos!H$9:H513))</f>
        <v/>
      </c>
      <c r="I513" s="12" t="str">
        <f>IF(A513="","",SUM(Lançamentos!C$9:C513))</f>
        <v/>
      </c>
      <c r="J513" s="13" t="str">
        <f>IF(Lançamentos!J513="","",Lançamentos!J513)</f>
        <v/>
      </c>
    </row>
    <row r="514" spans="1:10" ht="23.1" customHeight="1">
      <c r="A514" s="1" t="str">
        <f>IF(ISNUMBER(Lançamentos!A514),Lançamentos!A514,"")</f>
        <v/>
      </c>
      <c r="B514" s="1" t="str">
        <f>IF(Lançamentos!B514="","",Lançamentos!B514)</f>
        <v/>
      </c>
      <c r="C514" s="12" t="str">
        <f>IF(ISNUMBER(Lançamentos!C514),Lançamentos!C514,"")</f>
        <v/>
      </c>
      <c r="D514" s="10" t="str">
        <f>IF(A514="","",SUM(Lançamentos!D$9:D514))</f>
        <v/>
      </c>
      <c r="E514" s="1"/>
      <c r="F514" s="11" t="str">
        <f>IF(A514="","",SUM(Lançamentos!F$9:F514))</f>
        <v/>
      </c>
      <c r="G514" s="11" t="str">
        <f>IF(A514="","",SUM(Lançamentos!G$9:G514))</f>
        <v/>
      </c>
      <c r="H514" s="11" t="str">
        <f>IF(A514="","",SUM(Lançamentos!H$9:H514))</f>
        <v/>
      </c>
      <c r="I514" s="12" t="str">
        <f>IF(A514="","",SUM(Lançamentos!C$9:C514))</f>
        <v/>
      </c>
      <c r="J514" s="13" t="str">
        <f>IF(Lançamentos!J514="","",Lançamentos!J514)</f>
        <v/>
      </c>
    </row>
    <row r="515" spans="1:10" ht="23.1" customHeight="1">
      <c r="A515" s="1" t="str">
        <f>IF(ISNUMBER(Lançamentos!A515),Lançamentos!A515,"")</f>
        <v/>
      </c>
      <c r="B515" s="1" t="str">
        <f>IF(Lançamentos!B515="","",Lançamentos!B515)</f>
        <v/>
      </c>
      <c r="C515" s="12" t="str">
        <f>IF(ISNUMBER(Lançamentos!C515),Lançamentos!C515,"")</f>
        <v/>
      </c>
      <c r="D515" s="10" t="str">
        <f>IF(A515="","",SUM(Lançamentos!D$9:D515))</f>
        <v/>
      </c>
      <c r="E515" s="1"/>
      <c r="F515" s="11" t="str">
        <f>IF(A515="","",SUM(Lançamentos!F$9:F515))</f>
        <v/>
      </c>
      <c r="G515" s="11" t="str">
        <f>IF(A515="","",SUM(Lançamentos!G$9:G515))</f>
        <v/>
      </c>
      <c r="H515" s="11" t="str">
        <f>IF(A515="","",SUM(Lançamentos!H$9:H515))</f>
        <v/>
      </c>
      <c r="I515" s="12" t="str">
        <f>IF(A515="","",SUM(Lançamentos!C$9:C515))</f>
        <v/>
      </c>
      <c r="J515" s="13" t="str">
        <f>IF(Lançamentos!J515="","",Lançamentos!J515)</f>
        <v/>
      </c>
    </row>
    <row r="516" spans="1:10" ht="23.1" customHeight="1">
      <c r="A516" s="1" t="str">
        <f>IF(ISNUMBER(Lançamentos!A516),Lançamentos!A516,"")</f>
        <v/>
      </c>
      <c r="B516" s="1" t="str">
        <f>IF(Lançamentos!B516="","",Lançamentos!B516)</f>
        <v/>
      </c>
      <c r="C516" s="12" t="str">
        <f>IF(ISNUMBER(Lançamentos!C516),Lançamentos!C516,"")</f>
        <v/>
      </c>
      <c r="D516" s="10" t="str">
        <f>IF(A516="","",SUM(Lançamentos!D$9:D516))</f>
        <v/>
      </c>
      <c r="E516" s="1"/>
      <c r="F516" s="11" t="str">
        <f>IF(A516="","",SUM(Lançamentos!F$9:F516))</f>
        <v/>
      </c>
      <c r="G516" s="11" t="str">
        <f>IF(A516="","",SUM(Lançamentos!G$9:G516))</f>
        <v/>
      </c>
      <c r="H516" s="11" t="str">
        <f>IF(A516="","",SUM(Lançamentos!H$9:H516))</f>
        <v/>
      </c>
      <c r="I516" s="12" t="str">
        <f>IF(A516="","",SUM(Lançamentos!C$9:C516))</f>
        <v/>
      </c>
      <c r="J516" s="13" t="str">
        <f>IF(Lançamentos!J516="","",Lançamentos!J516)</f>
        <v/>
      </c>
    </row>
    <row r="517" spans="1:10" ht="23.1" customHeight="1">
      <c r="A517" s="1" t="str">
        <f>IF(ISNUMBER(Lançamentos!A517),Lançamentos!A517,"")</f>
        <v/>
      </c>
      <c r="B517" s="1" t="str">
        <f>IF(Lançamentos!B517="","",Lançamentos!B517)</f>
        <v/>
      </c>
      <c r="C517" s="12" t="str">
        <f>IF(ISNUMBER(Lançamentos!C517),Lançamentos!C517,"")</f>
        <v/>
      </c>
      <c r="D517" s="10" t="str">
        <f>IF(A517="","",SUM(Lançamentos!D$9:D517))</f>
        <v/>
      </c>
      <c r="E517" s="1"/>
      <c r="F517" s="11" t="str">
        <f>IF(A517="","",SUM(Lançamentos!F$9:F517))</f>
        <v/>
      </c>
      <c r="G517" s="11" t="str">
        <f>IF(A517="","",SUM(Lançamentos!G$9:G517))</f>
        <v/>
      </c>
      <c r="H517" s="11" t="str">
        <f>IF(A517="","",SUM(Lançamentos!H$9:H517))</f>
        <v/>
      </c>
      <c r="I517" s="12" t="str">
        <f>IF(A517="","",SUM(Lançamentos!C$9:C517))</f>
        <v/>
      </c>
      <c r="J517" s="13" t="str">
        <f>IF(Lançamentos!J517="","",Lançamentos!J517)</f>
        <v/>
      </c>
    </row>
    <row r="518" spans="1:10" ht="23.1" customHeight="1">
      <c r="A518" s="1" t="str">
        <f>IF(ISNUMBER(Lançamentos!A518),Lançamentos!A518,"")</f>
        <v/>
      </c>
      <c r="B518" s="1" t="str">
        <f>IF(Lançamentos!B518="","",Lançamentos!B518)</f>
        <v/>
      </c>
      <c r="C518" s="12" t="str">
        <f>IF(ISNUMBER(Lançamentos!C518),Lançamentos!C518,"")</f>
        <v/>
      </c>
      <c r="D518" s="10" t="str">
        <f>IF(A518="","",SUM(Lançamentos!D$9:D518))</f>
        <v/>
      </c>
      <c r="E518" s="1"/>
      <c r="F518" s="11" t="str">
        <f>IF(A518="","",SUM(Lançamentos!F$9:F518))</f>
        <v/>
      </c>
      <c r="G518" s="11" t="str">
        <f>IF(A518="","",SUM(Lançamentos!G$9:G518))</f>
        <v/>
      </c>
      <c r="H518" s="11" t="str">
        <f>IF(A518="","",SUM(Lançamentos!H$9:H518))</f>
        <v/>
      </c>
      <c r="I518" s="12" t="str">
        <f>IF(A518="","",SUM(Lançamentos!C$9:C518))</f>
        <v/>
      </c>
      <c r="J518" s="13" t="str">
        <f>IF(Lançamentos!J518="","",Lançamentos!J518)</f>
        <v/>
      </c>
    </row>
    <row r="519" spans="1:10" ht="23.1" customHeight="1">
      <c r="A519" s="1" t="str">
        <f>IF(ISNUMBER(Lançamentos!A519),Lançamentos!A519,"")</f>
        <v/>
      </c>
      <c r="B519" s="1" t="str">
        <f>IF(Lançamentos!B519="","",Lançamentos!B519)</f>
        <v/>
      </c>
      <c r="C519" s="12" t="str">
        <f>IF(ISNUMBER(Lançamentos!C519),Lançamentos!C519,"")</f>
        <v/>
      </c>
      <c r="D519" s="10" t="str">
        <f>IF(A519="","",SUM(Lançamentos!D$9:D519))</f>
        <v/>
      </c>
      <c r="E519" s="1"/>
      <c r="F519" s="11" t="str">
        <f>IF(A519="","",SUM(Lançamentos!F$9:F519))</f>
        <v/>
      </c>
      <c r="G519" s="11" t="str">
        <f>IF(A519="","",SUM(Lançamentos!G$9:G519))</f>
        <v/>
      </c>
      <c r="H519" s="11" t="str">
        <f>IF(A519="","",SUM(Lançamentos!H$9:H519))</f>
        <v/>
      </c>
      <c r="I519" s="12" t="str">
        <f>IF(A519="","",SUM(Lançamentos!C$9:C519))</f>
        <v/>
      </c>
      <c r="J519" s="13" t="str">
        <f>IF(Lançamentos!J519="","",Lançamentos!J519)</f>
        <v/>
      </c>
    </row>
    <row r="520" spans="1:10" ht="23.1" customHeight="1">
      <c r="A520" s="1" t="str">
        <f>IF(ISNUMBER(Lançamentos!A520),Lançamentos!A520,"")</f>
        <v/>
      </c>
      <c r="B520" s="1" t="str">
        <f>IF(Lançamentos!B520="","",Lançamentos!B520)</f>
        <v/>
      </c>
      <c r="C520" s="12" t="str">
        <f>IF(ISNUMBER(Lançamentos!C520),Lançamentos!C520,"")</f>
        <v/>
      </c>
      <c r="D520" s="10" t="str">
        <f>IF(A520="","",SUM(Lançamentos!D$9:D520))</f>
        <v/>
      </c>
      <c r="E520" s="1"/>
      <c r="F520" s="11" t="str">
        <f>IF(A520="","",SUM(Lançamentos!F$9:F520))</f>
        <v/>
      </c>
      <c r="G520" s="11" t="str">
        <f>IF(A520="","",SUM(Lançamentos!G$9:G520))</f>
        <v/>
      </c>
      <c r="H520" s="11" t="str">
        <f>IF(A520="","",SUM(Lançamentos!H$9:H520))</f>
        <v/>
      </c>
      <c r="I520" s="12" t="str">
        <f>IF(A520="","",SUM(Lançamentos!C$9:C520))</f>
        <v/>
      </c>
      <c r="J520" s="13" t="str">
        <f>IF(Lançamentos!J520="","",Lançamentos!J520)</f>
        <v/>
      </c>
    </row>
    <row r="521" spans="1:10" ht="23.1" customHeight="1">
      <c r="A521" s="1" t="str">
        <f>IF(ISNUMBER(Lançamentos!A521),Lançamentos!A521,"")</f>
        <v/>
      </c>
      <c r="B521" s="1" t="str">
        <f>IF(Lançamentos!B521="","",Lançamentos!B521)</f>
        <v/>
      </c>
      <c r="C521" s="12" t="str">
        <f>IF(ISNUMBER(Lançamentos!C521),Lançamentos!C521,"")</f>
        <v/>
      </c>
      <c r="D521" s="10" t="str">
        <f>IF(A521="","",SUM(Lançamentos!D$9:D521))</f>
        <v/>
      </c>
      <c r="E521" s="1"/>
      <c r="F521" s="11" t="str">
        <f>IF(A521="","",SUM(Lançamentos!F$9:F521))</f>
        <v/>
      </c>
      <c r="G521" s="11" t="str">
        <f>IF(A521="","",SUM(Lançamentos!G$9:G521))</f>
        <v/>
      </c>
      <c r="H521" s="11" t="str">
        <f>IF(A521="","",SUM(Lançamentos!H$9:H521))</f>
        <v/>
      </c>
      <c r="I521" s="12" t="str">
        <f>IF(A521="","",SUM(Lançamentos!C$9:C521))</f>
        <v/>
      </c>
      <c r="J521" s="13" t="str">
        <f>IF(Lançamentos!J521="","",Lançamentos!J521)</f>
        <v/>
      </c>
    </row>
    <row r="522" spans="1:10" ht="23.1" customHeight="1">
      <c r="A522" s="1" t="str">
        <f>IF(ISNUMBER(Lançamentos!A522),Lançamentos!A522,"")</f>
        <v/>
      </c>
      <c r="B522" s="1" t="str">
        <f>IF(Lançamentos!B522="","",Lançamentos!B522)</f>
        <v/>
      </c>
      <c r="C522" s="12" t="str">
        <f>IF(ISNUMBER(Lançamentos!C522),Lançamentos!C522,"")</f>
        <v/>
      </c>
      <c r="D522" s="10" t="str">
        <f>IF(A522="","",SUM(Lançamentos!D$9:D522))</f>
        <v/>
      </c>
      <c r="E522" s="1"/>
      <c r="F522" s="11" t="str">
        <f>IF(A522="","",SUM(Lançamentos!F$9:F522))</f>
        <v/>
      </c>
      <c r="G522" s="11" t="str">
        <f>IF(A522="","",SUM(Lançamentos!G$9:G522))</f>
        <v/>
      </c>
      <c r="H522" s="11" t="str">
        <f>IF(A522="","",SUM(Lançamentos!H$9:H522))</f>
        <v/>
      </c>
      <c r="I522" s="12" t="str">
        <f>IF(A522="","",SUM(Lançamentos!C$9:C522))</f>
        <v/>
      </c>
      <c r="J522" s="13" t="str">
        <f>IF(Lançamentos!J522="","",Lançamentos!J522)</f>
        <v/>
      </c>
    </row>
    <row r="523" spans="1:10" ht="23.1" customHeight="1">
      <c r="A523" s="1" t="str">
        <f>IF(ISNUMBER(Lançamentos!A523),Lançamentos!A523,"")</f>
        <v/>
      </c>
      <c r="B523" s="1" t="str">
        <f>IF(Lançamentos!B523="","",Lançamentos!B523)</f>
        <v/>
      </c>
      <c r="C523" s="12" t="str">
        <f>IF(ISNUMBER(Lançamentos!C523),Lançamentos!C523,"")</f>
        <v/>
      </c>
      <c r="D523" s="10" t="str">
        <f>IF(A523="","",SUM(Lançamentos!D$9:D523))</f>
        <v/>
      </c>
      <c r="E523" s="1"/>
      <c r="F523" s="11" t="str">
        <f>IF(A523="","",SUM(Lançamentos!F$9:F523))</f>
        <v/>
      </c>
      <c r="G523" s="11" t="str">
        <f>IF(A523="","",SUM(Lançamentos!G$9:G523))</f>
        <v/>
      </c>
      <c r="H523" s="11" t="str">
        <f>IF(A523="","",SUM(Lançamentos!H$9:H523))</f>
        <v/>
      </c>
      <c r="I523" s="12" t="str">
        <f>IF(A523="","",SUM(Lançamentos!C$9:C523))</f>
        <v/>
      </c>
      <c r="J523" s="13" t="str">
        <f>IF(Lançamentos!J523="","",Lançamentos!J523)</f>
        <v/>
      </c>
    </row>
    <row r="524" spans="1:10" ht="23.1" customHeight="1">
      <c r="A524" s="1" t="str">
        <f>IF(ISNUMBER(Lançamentos!A524),Lançamentos!A524,"")</f>
        <v/>
      </c>
      <c r="B524" s="1" t="str">
        <f>IF(Lançamentos!B524="","",Lançamentos!B524)</f>
        <v/>
      </c>
      <c r="C524" s="12" t="str">
        <f>IF(ISNUMBER(Lançamentos!C524),Lançamentos!C524,"")</f>
        <v/>
      </c>
      <c r="D524" s="10" t="str">
        <f>IF(A524="","",SUM(Lançamentos!D$9:D524))</f>
        <v/>
      </c>
      <c r="E524" s="1"/>
      <c r="F524" s="11" t="str">
        <f>IF(A524="","",SUM(Lançamentos!F$9:F524))</f>
        <v/>
      </c>
      <c r="G524" s="11" t="str">
        <f>IF(A524="","",SUM(Lançamentos!G$9:G524))</f>
        <v/>
      </c>
      <c r="H524" s="11" t="str">
        <f>IF(A524="","",SUM(Lançamentos!H$9:H524))</f>
        <v/>
      </c>
      <c r="I524" s="12" t="str">
        <f>IF(A524="","",SUM(Lançamentos!C$9:C524))</f>
        <v/>
      </c>
      <c r="J524" s="13" t="str">
        <f>IF(Lançamentos!J524="","",Lançamentos!J524)</f>
        <v/>
      </c>
    </row>
    <row r="525" spans="1:10" ht="23.1" customHeight="1">
      <c r="A525" s="1" t="str">
        <f>IF(ISNUMBER(Lançamentos!A525),Lançamentos!A525,"")</f>
        <v/>
      </c>
      <c r="B525" s="1" t="str">
        <f>IF(Lançamentos!B525="","",Lançamentos!B525)</f>
        <v/>
      </c>
      <c r="C525" s="12" t="str">
        <f>IF(ISNUMBER(Lançamentos!C525),Lançamentos!C525,"")</f>
        <v/>
      </c>
      <c r="D525" s="10" t="str">
        <f>IF(A525="","",SUM(Lançamentos!D$9:D525))</f>
        <v/>
      </c>
      <c r="E525" s="1"/>
      <c r="F525" s="11" t="str">
        <f>IF(A525="","",SUM(Lançamentos!F$9:F525))</f>
        <v/>
      </c>
      <c r="G525" s="11" t="str">
        <f>IF(A525="","",SUM(Lançamentos!G$9:G525))</f>
        <v/>
      </c>
      <c r="H525" s="11" t="str">
        <f>IF(A525="","",SUM(Lançamentos!H$9:H525))</f>
        <v/>
      </c>
      <c r="I525" s="12" t="str">
        <f>IF(A525="","",SUM(Lançamentos!C$9:C525))</f>
        <v/>
      </c>
      <c r="J525" s="13" t="str">
        <f>IF(Lançamentos!J525="","",Lançamentos!J525)</f>
        <v/>
      </c>
    </row>
    <row r="526" spans="1:10" ht="23.1" customHeight="1">
      <c r="A526" s="1" t="str">
        <f>IF(ISNUMBER(Lançamentos!A526),Lançamentos!A526,"")</f>
        <v/>
      </c>
      <c r="B526" s="1" t="str">
        <f>IF(Lançamentos!B526="","",Lançamentos!B526)</f>
        <v/>
      </c>
      <c r="C526" s="12" t="str">
        <f>IF(ISNUMBER(Lançamentos!C526),Lançamentos!C526,"")</f>
        <v/>
      </c>
      <c r="D526" s="10" t="str">
        <f>IF(A526="","",SUM(Lançamentos!D$9:D526))</f>
        <v/>
      </c>
      <c r="E526" s="1"/>
      <c r="F526" s="11" t="str">
        <f>IF(A526="","",SUM(Lançamentos!F$9:F526))</f>
        <v/>
      </c>
      <c r="G526" s="11" t="str">
        <f>IF(A526="","",SUM(Lançamentos!G$9:G526))</f>
        <v/>
      </c>
      <c r="H526" s="11" t="str">
        <f>IF(A526="","",SUM(Lançamentos!H$9:H526))</f>
        <v/>
      </c>
      <c r="I526" s="12" t="str">
        <f>IF(A526="","",SUM(Lançamentos!C$9:C526))</f>
        <v/>
      </c>
      <c r="J526" s="13" t="str">
        <f>IF(Lançamentos!J526="","",Lançamentos!J526)</f>
        <v/>
      </c>
    </row>
    <row r="527" spans="1:10" ht="23.1" customHeight="1">
      <c r="A527" s="1" t="str">
        <f>IF(ISNUMBER(Lançamentos!A527),Lançamentos!A527,"")</f>
        <v/>
      </c>
      <c r="B527" s="1" t="str">
        <f>IF(Lançamentos!B527="","",Lançamentos!B527)</f>
        <v/>
      </c>
      <c r="C527" s="12" t="str">
        <f>IF(ISNUMBER(Lançamentos!C527),Lançamentos!C527,"")</f>
        <v/>
      </c>
      <c r="D527" s="10" t="str">
        <f>IF(A527="","",SUM(Lançamentos!D$9:D527))</f>
        <v/>
      </c>
      <c r="E527" s="1"/>
      <c r="F527" s="11" t="str">
        <f>IF(A527="","",SUM(Lançamentos!F$9:F527))</f>
        <v/>
      </c>
      <c r="G527" s="11" t="str">
        <f>IF(A527="","",SUM(Lançamentos!G$9:G527))</f>
        <v/>
      </c>
      <c r="H527" s="11" t="str">
        <f>IF(A527="","",SUM(Lançamentos!H$9:H527))</f>
        <v/>
      </c>
      <c r="I527" s="12" t="str">
        <f>IF(A527="","",SUM(Lançamentos!C$9:C527))</f>
        <v/>
      </c>
      <c r="J527" s="13" t="str">
        <f>IF(Lançamentos!J527="","",Lançamentos!J527)</f>
        <v/>
      </c>
    </row>
    <row r="528" spans="1:10" ht="23.1" customHeight="1">
      <c r="A528" s="1" t="str">
        <f>IF(ISNUMBER(Lançamentos!A528),Lançamentos!A528,"")</f>
        <v/>
      </c>
      <c r="B528" s="1" t="str">
        <f>IF(Lançamentos!B528="","",Lançamentos!B528)</f>
        <v/>
      </c>
      <c r="C528" s="12" t="str">
        <f>IF(ISNUMBER(Lançamentos!C528),Lançamentos!C528,"")</f>
        <v/>
      </c>
      <c r="D528" s="10" t="str">
        <f>IF(A528="","",SUM(Lançamentos!D$9:D528))</f>
        <v/>
      </c>
      <c r="E528" s="1"/>
      <c r="F528" s="11" t="str">
        <f>IF(A528="","",SUM(Lançamentos!F$9:F528))</f>
        <v/>
      </c>
      <c r="G528" s="11" t="str">
        <f>IF(A528="","",SUM(Lançamentos!G$9:G528))</f>
        <v/>
      </c>
      <c r="H528" s="11" t="str">
        <f>IF(A528="","",SUM(Lançamentos!H$9:H528))</f>
        <v/>
      </c>
      <c r="I528" s="12" t="str">
        <f>IF(A528="","",SUM(Lançamentos!C$9:C528))</f>
        <v/>
      </c>
      <c r="J528" s="13" t="str">
        <f>IF(Lançamentos!J528="","",Lançamentos!J528)</f>
        <v/>
      </c>
    </row>
    <row r="529" spans="1:10" ht="23.1" customHeight="1">
      <c r="A529" s="1" t="str">
        <f>IF(ISNUMBER(Lançamentos!A529),Lançamentos!A529,"")</f>
        <v/>
      </c>
      <c r="B529" s="1" t="str">
        <f>IF(Lançamentos!B529="","",Lançamentos!B529)</f>
        <v/>
      </c>
      <c r="C529" s="12" t="str">
        <f>IF(ISNUMBER(Lançamentos!C529),Lançamentos!C529,"")</f>
        <v/>
      </c>
      <c r="D529" s="10" t="str">
        <f>IF(A529="","",SUM(Lançamentos!D$9:D529))</f>
        <v/>
      </c>
      <c r="E529" s="1"/>
      <c r="F529" s="11" t="str">
        <f>IF(A529="","",SUM(Lançamentos!F$9:F529))</f>
        <v/>
      </c>
      <c r="G529" s="11" t="str">
        <f>IF(A529="","",SUM(Lançamentos!G$9:G529))</f>
        <v/>
      </c>
      <c r="H529" s="11" t="str">
        <f>IF(A529="","",SUM(Lançamentos!H$9:H529))</f>
        <v/>
      </c>
      <c r="I529" s="12" t="str">
        <f>IF(A529="","",SUM(Lançamentos!C$9:C529))</f>
        <v/>
      </c>
      <c r="J529" s="13" t="str">
        <f>IF(Lançamentos!J529="","",Lançamentos!J529)</f>
        <v/>
      </c>
    </row>
    <row r="530" spans="1:10" ht="23.1" customHeight="1">
      <c r="A530" s="1" t="str">
        <f>IF(ISNUMBER(Lançamentos!A530),Lançamentos!A530,"")</f>
        <v/>
      </c>
      <c r="B530" s="1" t="str">
        <f>IF(Lançamentos!B530="","",Lançamentos!B530)</f>
        <v/>
      </c>
      <c r="C530" s="12" t="str">
        <f>IF(ISNUMBER(Lançamentos!C530),Lançamentos!C530,"")</f>
        <v/>
      </c>
      <c r="D530" s="10" t="str">
        <f>IF(A530="","",SUM(Lançamentos!D$9:D530))</f>
        <v/>
      </c>
      <c r="E530" s="1"/>
      <c r="F530" s="11" t="str">
        <f>IF(A530="","",SUM(Lançamentos!F$9:F530))</f>
        <v/>
      </c>
      <c r="G530" s="11" t="str">
        <f>IF(A530="","",SUM(Lançamentos!G$9:G530))</f>
        <v/>
      </c>
      <c r="H530" s="11" t="str">
        <f>IF(A530="","",SUM(Lançamentos!H$9:H530))</f>
        <v/>
      </c>
      <c r="I530" s="12" t="str">
        <f>IF(A530="","",SUM(Lançamentos!C$9:C530))</f>
        <v/>
      </c>
      <c r="J530" s="13" t="str">
        <f>IF(Lançamentos!J530="","",Lançamentos!J530)</f>
        <v/>
      </c>
    </row>
    <row r="531" spans="1:10" ht="23.1" customHeight="1">
      <c r="A531" s="1" t="str">
        <f>IF(ISNUMBER(Lançamentos!A531),Lançamentos!A531,"")</f>
        <v/>
      </c>
      <c r="B531" s="1" t="str">
        <f>IF(Lançamentos!B531="","",Lançamentos!B531)</f>
        <v/>
      </c>
      <c r="C531" s="12" t="str">
        <f>IF(ISNUMBER(Lançamentos!C531),Lançamentos!C531,"")</f>
        <v/>
      </c>
      <c r="D531" s="10" t="str">
        <f>IF(A531="","",SUM(Lançamentos!D$9:D531))</f>
        <v/>
      </c>
      <c r="E531" s="1"/>
      <c r="F531" s="11" t="str">
        <f>IF(A531="","",SUM(Lançamentos!F$9:F531))</f>
        <v/>
      </c>
      <c r="G531" s="11" t="str">
        <f>IF(A531="","",SUM(Lançamentos!G$9:G531))</f>
        <v/>
      </c>
      <c r="H531" s="11" t="str">
        <f>IF(A531="","",SUM(Lançamentos!H$9:H531))</f>
        <v/>
      </c>
      <c r="I531" s="12" t="str">
        <f>IF(A531="","",SUM(Lançamentos!C$9:C531))</f>
        <v/>
      </c>
      <c r="J531" s="13" t="str">
        <f>IF(Lançamentos!J531="","",Lançamentos!J531)</f>
        <v/>
      </c>
    </row>
    <row r="532" spans="1:10" ht="23.1" customHeight="1">
      <c r="A532" s="1" t="str">
        <f>IF(ISNUMBER(Lançamentos!A532),Lançamentos!A532,"")</f>
        <v/>
      </c>
      <c r="B532" s="1" t="str">
        <f>IF(Lançamentos!B532="","",Lançamentos!B532)</f>
        <v/>
      </c>
      <c r="C532" s="12" t="str">
        <f>IF(ISNUMBER(Lançamentos!C532),Lançamentos!C532,"")</f>
        <v/>
      </c>
      <c r="D532" s="10" t="str">
        <f>IF(A532="","",SUM(Lançamentos!D$9:D532))</f>
        <v/>
      </c>
      <c r="E532" s="1"/>
      <c r="F532" s="11" t="str">
        <f>IF(A532="","",SUM(Lançamentos!F$9:F532))</f>
        <v/>
      </c>
      <c r="G532" s="11" t="str">
        <f>IF(A532="","",SUM(Lançamentos!G$9:G532))</f>
        <v/>
      </c>
      <c r="H532" s="11" t="str">
        <f>IF(A532="","",SUM(Lançamentos!H$9:H532))</f>
        <v/>
      </c>
      <c r="I532" s="12" t="str">
        <f>IF(A532="","",SUM(Lançamentos!C$9:C532))</f>
        <v/>
      </c>
      <c r="J532" s="13" t="str">
        <f>IF(Lançamentos!J532="","",Lançamentos!J532)</f>
        <v/>
      </c>
    </row>
    <row r="533" spans="1:10" ht="23.1" customHeight="1">
      <c r="A533" s="1" t="str">
        <f>IF(ISNUMBER(Lançamentos!A533),Lançamentos!A533,"")</f>
        <v/>
      </c>
      <c r="B533" s="1" t="str">
        <f>IF(Lançamentos!B533="","",Lançamentos!B533)</f>
        <v/>
      </c>
      <c r="C533" s="12" t="str">
        <f>IF(ISNUMBER(Lançamentos!C533),Lançamentos!C533,"")</f>
        <v/>
      </c>
      <c r="D533" s="10" t="str">
        <f>IF(A533="","",SUM(Lançamentos!D$9:D533))</f>
        <v/>
      </c>
      <c r="E533" s="1"/>
      <c r="F533" s="11" t="str">
        <f>IF(A533="","",SUM(Lançamentos!F$9:F533))</f>
        <v/>
      </c>
      <c r="G533" s="11" t="str">
        <f>IF(A533="","",SUM(Lançamentos!G$9:G533))</f>
        <v/>
      </c>
      <c r="H533" s="11" t="str">
        <f>IF(A533="","",SUM(Lançamentos!H$9:H533))</f>
        <v/>
      </c>
      <c r="I533" s="12" t="str">
        <f>IF(A533="","",SUM(Lançamentos!C$9:C533))</f>
        <v/>
      </c>
      <c r="J533" s="13" t="str">
        <f>IF(Lançamentos!J533="","",Lançamentos!J533)</f>
        <v/>
      </c>
    </row>
    <row r="534" spans="1:10" ht="23.1" customHeight="1">
      <c r="A534" s="1" t="str">
        <f>IF(ISNUMBER(Lançamentos!A534),Lançamentos!A534,"")</f>
        <v/>
      </c>
      <c r="B534" s="1" t="str">
        <f>IF(Lançamentos!B534="","",Lançamentos!B534)</f>
        <v/>
      </c>
      <c r="C534" s="12" t="str">
        <f>IF(ISNUMBER(Lançamentos!C534),Lançamentos!C534,"")</f>
        <v/>
      </c>
      <c r="D534" s="10" t="str">
        <f>IF(A534="","",SUM(Lançamentos!D$9:D534))</f>
        <v/>
      </c>
      <c r="E534" s="1"/>
      <c r="F534" s="11" t="str">
        <f>IF(A534="","",SUM(Lançamentos!F$9:F534))</f>
        <v/>
      </c>
      <c r="G534" s="11" t="str">
        <f>IF(A534="","",SUM(Lançamentos!G$9:G534))</f>
        <v/>
      </c>
      <c r="H534" s="11" t="str">
        <f>IF(A534="","",SUM(Lançamentos!H$9:H534))</f>
        <v/>
      </c>
      <c r="I534" s="12" t="str">
        <f>IF(A534="","",SUM(Lançamentos!C$9:C534))</f>
        <v/>
      </c>
      <c r="J534" s="13" t="str">
        <f>IF(Lançamentos!J534="","",Lançamentos!J534)</f>
        <v/>
      </c>
    </row>
    <row r="535" spans="1:10" ht="23.1" customHeight="1">
      <c r="A535" s="1" t="str">
        <f>IF(ISNUMBER(Lançamentos!A535),Lançamentos!A535,"")</f>
        <v/>
      </c>
      <c r="B535" s="1" t="str">
        <f>IF(Lançamentos!B535="","",Lançamentos!B535)</f>
        <v/>
      </c>
      <c r="C535" s="12" t="str">
        <f>IF(ISNUMBER(Lançamentos!C535),Lançamentos!C535,"")</f>
        <v/>
      </c>
      <c r="D535" s="10" t="str">
        <f>IF(A535="","",SUM(Lançamentos!D$9:D535))</f>
        <v/>
      </c>
      <c r="E535" s="1"/>
      <c r="F535" s="11" t="str">
        <f>IF(A535="","",SUM(Lançamentos!F$9:F535))</f>
        <v/>
      </c>
      <c r="G535" s="11" t="str">
        <f>IF(A535="","",SUM(Lançamentos!G$9:G535))</f>
        <v/>
      </c>
      <c r="H535" s="11" t="str">
        <f>IF(A535="","",SUM(Lançamentos!H$9:H535))</f>
        <v/>
      </c>
      <c r="I535" s="12" t="str">
        <f>IF(A535="","",SUM(Lançamentos!C$9:C535))</f>
        <v/>
      </c>
      <c r="J535" s="13" t="str">
        <f>IF(Lançamentos!J535="","",Lançamentos!J535)</f>
        <v/>
      </c>
    </row>
    <row r="536" spans="1:10" ht="23.1" customHeight="1">
      <c r="A536" s="1" t="str">
        <f>IF(ISNUMBER(Lançamentos!A536),Lançamentos!A536,"")</f>
        <v/>
      </c>
      <c r="B536" s="1" t="str">
        <f>IF(Lançamentos!B536="","",Lançamentos!B536)</f>
        <v/>
      </c>
      <c r="C536" s="12" t="str">
        <f>IF(ISNUMBER(Lançamentos!C536),Lançamentos!C536,"")</f>
        <v/>
      </c>
      <c r="D536" s="10" t="str">
        <f>IF(A536="","",SUM(Lançamentos!D$9:D536))</f>
        <v/>
      </c>
      <c r="E536" s="1"/>
      <c r="F536" s="11" t="str">
        <f>IF(A536="","",SUM(Lançamentos!F$9:F536))</f>
        <v/>
      </c>
      <c r="G536" s="11" t="str">
        <f>IF(A536="","",SUM(Lançamentos!G$9:G536))</f>
        <v/>
      </c>
      <c r="H536" s="11" t="str">
        <f>IF(A536="","",SUM(Lançamentos!H$9:H536))</f>
        <v/>
      </c>
      <c r="I536" s="12" t="str">
        <f>IF(A536="","",SUM(Lançamentos!C$9:C536))</f>
        <v/>
      </c>
      <c r="J536" s="13" t="str">
        <f>IF(Lançamentos!J536="","",Lançamentos!J536)</f>
        <v/>
      </c>
    </row>
    <row r="537" spans="1:10" ht="23.1" customHeight="1">
      <c r="A537" s="1" t="str">
        <f>IF(ISNUMBER(Lançamentos!A537),Lançamentos!A537,"")</f>
        <v/>
      </c>
      <c r="B537" s="1" t="str">
        <f>IF(Lançamentos!B537="","",Lançamentos!B537)</f>
        <v/>
      </c>
      <c r="C537" s="12" t="str">
        <f>IF(ISNUMBER(Lançamentos!C537),Lançamentos!C537,"")</f>
        <v/>
      </c>
      <c r="D537" s="10" t="str">
        <f>IF(A537="","",SUM(Lançamentos!D$9:D537))</f>
        <v/>
      </c>
      <c r="E537" s="1"/>
      <c r="F537" s="11" t="str">
        <f>IF(A537="","",SUM(Lançamentos!F$9:F537))</f>
        <v/>
      </c>
      <c r="G537" s="11" t="str">
        <f>IF(A537="","",SUM(Lançamentos!G$9:G537))</f>
        <v/>
      </c>
      <c r="H537" s="11" t="str">
        <f>IF(A537="","",SUM(Lançamentos!H$9:H537))</f>
        <v/>
      </c>
      <c r="I537" s="12" t="str">
        <f>IF(A537="","",SUM(Lançamentos!C$9:C537))</f>
        <v/>
      </c>
      <c r="J537" s="13" t="str">
        <f>IF(Lançamentos!J537="","",Lançamentos!J537)</f>
        <v/>
      </c>
    </row>
    <row r="538" spans="1:10" ht="23.1" customHeight="1">
      <c r="A538" s="1" t="str">
        <f>IF(ISNUMBER(Lançamentos!A538),Lançamentos!A538,"")</f>
        <v/>
      </c>
      <c r="B538" s="1" t="str">
        <f>IF(Lançamentos!B538="","",Lançamentos!B538)</f>
        <v/>
      </c>
      <c r="C538" s="12" t="str">
        <f>IF(ISNUMBER(Lançamentos!C538),Lançamentos!C538,"")</f>
        <v/>
      </c>
      <c r="D538" s="10" t="str">
        <f>IF(A538="","",SUM(Lançamentos!D$9:D538))</f>
        <v/>
      </c>
      <c r="E538" s="1"/>
      <c r="F538" s="11" t="str">
        <f>IF(A538="","",SUM(Lançamentos!F$9:F538))</f>
        <v/>
      </c>
      <c r="G538" s="11" t="str">
        <f>IF(A538="","",SUM(Lançamentos!G$9:G538))</f>
        <v/>
      </c>
      <c r="H538" s="11" t="str">
        <f>IF(A538="","",SUM(Lançamentos!H$9:H538))</f>
        <v/>
      </c>
      <c r="I538" s="12" t="str">
        <f>IF(A538="","",SUM(Lançamentos!C$9:C538))</f>
        <v/>
      </c>
      <c r="J538" s="13" t="str">
        <f>IF(Lançamentos!J538="","",Lançamentos!J538)</f>
        <v/>
      </c>
    </row>
    <row r="539" spans="1:10" ht="23.1" customHeight="1">
      <c r="A539" s="1" t="str">
        <f>IF(ISNUMBER(Lançamentos!A539),Lançamentos!A539,"")</f>
        <v/>
      </c>
      <c r="B539" s="1" t="str">
        <f>IF(Lançamentos!B539="","",Lançamentos!B539)</f>
        <v/>
      </c>
      <c r="C539" s="12" t="str">
        <f>IF(ISNUMBER(Lançamentos!C539),Lançamentos!C539,"")</f>
        <v/>
      </c>
      <c r="D539" s="10" t="str">
        <f>IF(A539="","",SUM(Lançamentos!D$9:D539))</f>
        <v/>
      </c>
      <c r="E539" s="1"/>
      <c r="F539" s="11" t="str">
        <f>IF(A539="","",SUM(Lançamentos!F$9:F539))</f>
        <v/>
      </c>
      <c r="G539" s="11" t="str">
        <f>IF(A539="","",SUM(Lançamentos!G$9:G539))</f>
        <v/>
      </c>
      <c r="H539" s="11" t="str">
        <f>IF(A539="","",SUM(Lançamentos!H$9:H539))</f>
        <v/>
      </c>
      <c r="I539" s="12" t="str">
        <f>IF(A539="","",SUM(Lançamentos!C$9:C539))</f>
        <v/>
      </c>
      <c r="J539" s="13" t="str">
        <f>IF(Lançamentos!J539="","",Lançamentos!J539)</f>
        <v/>
      </c>
    </row>
    <row r="540" spans="1:10" ht="23.1" customHeight="1">
      <c r="A540" s="1" t="str">
        <f>IF(ISNUMBER(Lançamentos!A540),Lançamentos!A540,"")</f>
        <v/>
      </c>
      <c r="B540" s="1" t="str">
        <f>IF(Lançamentos!B540="","",Lançamentos!B540)</f>
        <v/>
      </c>
      <c r="C540" s="12" t="str">
        <f>IF(ISNUMBER(Lançamentos!C540),Lançamentos!C540,"")</f>
        <v/>
      </c>
      <c r="D540" s="10" t="str">
        <f>IF(A540="","",SUM(Lançamentos!D$9:D540))</f>
        <v/>
      </c>
      <c r="E540" s="1"/>
      <c r="F540" s="11" t="str">
        <f>IF(A540="","",SUM(Lançamentos!F$9:F540))</f>
        <v/>
      </c>
      <c r="G540" s="11" t="str">
        <f>IF(A540="","",SUM(Lançamentos!G$9:G540))</f>
        <v/>
      </c>
      <c r="H540" s="11" t="str">
        <f>IF(A540="","",SUM(Lançamentos!H$9:H540))</f>
        <v/>
      </c>
      <c r="I540" s="12" t="str">
        <f>IF(A540="","",SUM(Lançamentos!C$9:C540))</f>
        <v/>
      </c>
      <c r="J540" s="13" t="str">
        <f>IF(Lançamentos!J540="","",Lançamentos!J540)</f>
        <v/>
      </c>
    </row>
    <row r="541" spans="1:10" ht="23.1" customHeight="1">
      <c r="A541" s="1" t="str">
        <f>IF(ISNUMBER(Lançamentos!A541),Lançamentos!A541,"")</f>
        <v/>
      </c>
      <c r="B541" s="1" t="str">
        <f>IF(Lançamentos!B541="","",Lançamentos!B541)</f>
        <v/>
      </c>
      <c r="C541" s="12" t="str">
        <f>IF(ISNUMBER(Lançamentos!C541),Lançamentos!C541,"")</f>
        <v/>
      </c>
      <c r="D541" s="10" t="str">
        <f>IF(A541="","",SUM(Lançamentos!D$9:D541))</f>
        <v/>
      </c>
      <c r="E541" s="1"/>
      <c r="F541" s="11" t="str">
        <f>IF(A541="","",SUM(Lançamentos!F$9:F541))</f>
        <v/>
      </c>
      <c r="G541" s="11" t="str">
        <f>IF(A541="","",SUM(Lançamentos!G$9:G541))</f>
        <v/>
      </c>
      <c r="H541" s="11" t="str">
        <f>IF(A541="","",SUM(Lançamentos!H$9:H541))</f>
        <v/>
      </c>
      <c r="I541" s="12" t="str">
        <f>IF(A541="","",SUM(Lançamentos!C$9:C541))</f>
        <v/>
      </c>
      <c r="J541" s="13" t="str">
        <f>IF(Lançamentos!J541="","",Lançamentos!J541)</f>
        <v/>
      </c>
    </row>
    <row r="542" spans="1:10" ht="23.1" customHeight="1">
      <c r="A542" s="1" t="str">
        <f>IF(ISNUMBER(Lançamentos!A542),Lançamentos!A542,"")</f>
        <v/>
      </c>
      <c r="B542" s="1" t="str">
        <f>IF(Lançamentos!B542="","",Lançamentos!B542)</f>
        <v/>
      </c>
      <c r="C542" s="12" t="str">
        <f>IF(ISNUMBER(Lançamentos!C542),Lançamentos!C542,"")</f>
        <v/>
      </c>
      <c r="D542" s="10" t="str">
        <f>IF(A542="","",SUM(Lançamentos!D$9:D542))</f>
        <v/>
      </c>
      <c r="E542" s="1"/>
      <c r="F542" s="11" t="str">
        <f>IF(A542="","",SUM(Lançamentos!F$9:F542))</f>
        <v/>
      </c>
      <c r="G542" s="11" t="str">
        <f>IF(A542="","",SUM(Lançamentos!G$9:G542))</f>
        <v/>
      </c>
      <c r="H542" s="11" t="str">
        <f>IF(A542="","",SUM(Lançamentos!H$9:H542))</f>
        <v/>
      </c>
      <c r="I542" s="12" t="str">
        <f>IF(A542="","",SUM(Lançamentos!C$9:C542))</f>
        <v/>
      </c>
      <c r="J542" s="13" t="str">
        <f>IF(Lançamentos!J542="","",Lançamentos!J542)</f>
        <v/>
      </c>
    </row>
    <row r="543" spans="1:10" ht="23.1" customHeight="1">
      <c r="A543" s="1" t="str">
        <f>IF(ISNUMBER(Lançamentos!A543),Lançamentos!A543,"")</f>
        <v/>
      </c>
      <c r="B543" s="1" t="str">
        <f>IF(Lançamentos!B543="","",Lançamentos!B543)</f>
        <v/>
      </c>
      <c r="C543" s="12" t="str">
        <f>IF(ISNUMBER(Lançamentos!C543),Lançamentos!C543,"")</f>
        <v/>
      </c>
      <c r="D543" s="10" t="str">
        <f>IF(A543="","",SUM(Lançamentos!D$9:D543))</f>
        <v/>
      </c>
      <c r="E543" s="1"/>
      <c r="F543" s="11" t="str">
        <f>IF(A543="","",SUM(Lançamentos!F$9:F543))</f>
        <v/>
      </c>
      <c r="G543" s="11" t="str">
        <f>IF(A543="","",SUM(Lançamentos!G$9:G543))</f>
        <v/>
      </c>
      <c r="H543" s="11" t="str">
        <f>IF(A543="","",SUM(Lançamentos!H$9:H543))</f>
        <v/>
      </c>
      <c r="I543" s="12" t="str">
        <f>IF(A543="","",SUM(Lançamentos!C$9:C543))</f>
        <v/>
      </c>
      <c r="J543" s="13" t="str">
        <f>IF(Lançamentos!J543="","",Lançamentos!J543)</f>
        <v/>
      </c>
    </row>
    <row r="544" spans="1:10" ht="23.1" customHeight="1">
      <c r="A544" s="1" t="str">
        <f>IF(ISNUMBER(Lançamentos!A544),Lançamentos!A544,"")</f>
        <v/>
      </c>
      <c r="B544" s="1" t="str">
        <f>IF(Lançamentos!B544="","",Lançamentos!B544)</f>
        <v/>
      </c>
      <c r="C544" s="12" t="str">
        <f>IF(ISNUMBER(Lançamentos!C544),Lançamentos!C544,"")</f>
        <v/>
      </c>
      <c r="D544" s="10" t="str">
        <f>IF(A544="","",SUM(Lançamentos!D$9:D544))</f>
        <v/>
      </c>
      <c r="E544" s="1"/>
      <c r="F544" s="11" t="str">
        <f>IF(A544="","",SUM(Lançamentos!F$9:F544))</f>
        <v/>
      </c>
      <c r="G544" s="11" t="str">
        <f>IF(A544="","",SUM(Lançamentos!G$9:G544))</f>
        <v/>
      </c>
      <c r="H544" s="11" t="str">
        <f>IF(A544="","",SUM(Lançamentos!H$9:H544))</f>
        <v/>
      </c>
      <c r="I544" s="12" t="str">
        <f>IF(A544="","",SUM(Lançamentos!C$9:C544))</f>
        <v/>
      </c>
      <c r="J544" s="13" t="str">
        <f>IF(Lançamentos!J544="","",Lançamentos!J544)</f>
        <v/>
      </c>
    </row>
    <row r="545" spans="1:10" ht="23.1" customHeight="1">
      <c r="A545" s="1" t="str">
        <f>IF(ISNUMBER(Lançamentos!A545),Lançamentos!A545,"")</f>
        <v/>
      </c>
      <c r="B545" s="1" t="str">
        <f>IF(Lançamentos!B545="","",Lançamentos!B545)</f>
        <v/>
      </c>
      <c r="C545" s="12" t="str">
        <f>IF(ISNUMBER(Lançamentos!C545),Lançamentos!C545,"")</f>
        <v/>
      </c>
      <c r="D545" s="10" t="str">
        <f>IF(A545="","",SUM(Lançamentos!D$9:D545))</f>
        <v/>
      </c>
      <c r="E545" s="1"/>
      <c r="F545" s="11" t="str">
        <f>IF(A545="","",SUM(Lançamentos!F$9:F545))</f>
        <v/>
      </c>
      <c r="G545" s="11" t="str">
        <f>IF(A545="","",SUM(Lançamentos!G$9:G545))</f>
        <v/>
      </c>
      <c r="H545" s="11" t="str">
        <f>IF(A545="","",SUM(Lançamentos!H$9:H545))</f>
        <v/>
      </c>
      <c r="I545" s="12" t="str">
        <f>IF(A545="","",SUM(Lançamentos!C$9:C545))</f>
        <v/>
      </c>
      <c r="J545" s="13" t="str">
        <f>IF(Lançamentos!J545="","",Lançamentos!J545)</f>
        <v/>
      </c>
    </row>
    <row r="546" spans="1:10" ht="23.1" customHeight="1">
      <c r="A546" s="1" t="str">
        <f>IF(ISNUMBER(Lançamentos!A546),Lançamentos!A546,"")</f>
        <v/>
      </c>
      <c r="B546" s="1" t="str">
        <f>IF(Lançamentos!B546="","",Lançamentos!B546)</f>
        <v/>
      </c>
      <c r="C546" s="12" t="str">
        <f>IF(ISNUMBER(Lançamentos!C546),Lançamentos!C546,"")</f>
        <v/>
      </c>
      <c r="D546" s="10" t="str">
        <f>IF(A546="","",SUM(Lançamentos!D$9:D546))</f>
        <v/>
      </c>
      <c r="E546" s="1"/>
      <c r="F546" s="11" t="str">
        <f>IF(A546="","",SUM(Lançamentos!F$9:F546))</f>
        <v/>
      </c>
      <c r="G546" s="11" t="str">
        <f>IF(A546="","",SUM(Lançamentos!G$9:G546))</f>
        <v/>
      </c>
      <c r="H546" s="11" t="str">
        <f>IF(A546="","",SUM(Lançamentos!H$9:H546))</f>
        <v/>
      </c>
      <c r="I546" s="12" t="str">
        <f>IF(A546="","",SUM(Lançamentos!C$9:C546))</f>
        <v/>
      </c>
      <c r="J546" s="13" t="str">
        <f>IF(Lançamentos!J546="","",Lançamentos!J546)</f>
        <v/>
      </c>
    </row>
    <row r="547" spans="1:10" ht="23.1" customHeight="1">
      <c r="A547" s="1" t="str">
        <f>IF(ISNUMBER(Lançamentos!A547),Lançamentos!A547,"")</f>
        <v/>
      </c>
      <c r="B547" s="1" t="str">
        <f>IF(Lançamentos!B547="","",Lançamentos!B547)</f>
        <v/>
      </c>
      <c r="C547" s="12" t="str">
        <f>IF(ISNUMBER(Lançamentos!C547),Lançamentos!C547,"")</f>
        <v/>
      </c>
      <c r="D547" s="10" t="str">
        <f>IF(A547="","",SUM(Lançamentos!D$9:D547))</f>
        <v/>
      </c>
      <c r="E547" s="1"/>
      <c r="F547" s="11" t="str">
        <f>IF(A547="","",SUM(Lançamentos!F$9:F547))</f>
        <v/>
      </c>
      <c r="G547" s="11" t="str">
        <f>IF(A547="","",SUM(Lançamentos!G$9:G547))</f>
        <v/>
      </c>
      <c r="H547" s="11" t="str">
        <f>IF(A547="","",SUM(Lançamentos!H$9:H547))</f>
        <v/>
      </c>
      <c r="I547" s="12" t="str">
        <f>IF(A547="","",SUM(Lançamentos!C$9:C547))</f>
        <v/>
      </c>
      <c r="J547" s="13" t="str">
        <f>IF(Lançamentos!J547="","",Lançamentos!J547)</f>
        <v/>
      </c>
    </row>
    <row r="548" spans="1:10" ht="23.1" customHeight="1">
      <c r="A548" s="1" t="str">
        <f>IF(ISNUMBER(Lançamentos!A548),Lançamentos!A548,"")</f>
        <v/>
      </c>
      <c r="B548" s="1" t="str">
        <f>IF(Lançamentos!B548="","",Lançamentos!B548)</f>
        <v/>
      </c>
      <c r="C548" s="12" t="str">
        <f>IF(ISNUMBER(Lançamentos!C548),Lançamentos!C548,"")</f>
        <v/>
      </c>
      <c r="D548" s="10" t="str">
        <f>IF(A548="","",SUM(Lançamentos!D$9:D548))</f>
        <v/>
      </c>
      <c r="E548" s="1"/>
      <c r="F548" s="11" t="str">
        <f>IF(A548="","",SUM(Lançamentos!F$9:F548))</f>
        <v/>
      </c>
      <c r="G548" s="11" t="str">
        <f>IF(A548="","",SUM(Lançamentos!G$9:G548))</f>
        <v/>
      </c>
      <c r="H548" s="11" t="str">
        <f>IF(A548="","",SUM(Lançamentos!H$9:H548))</f>
        <v/>
      </c>
      <c r="I548" s="12" t="str">
        <f>IF(A548="","",SUM(Lançamentos!C$9:C548))</f>
        <v/>
      </c>
      <c r="J548" s="13" t="str">
        <f>IF(Lançamentos!J548="","",Lançamentos!J548)</f>
        <v/>
      </c>
    </row>
    <row r="549" spans="1:10" ht="23.1" customHeight="1">
      <c r="A549" s="1" t="str">
        <f>IF(ISNUMBER(Lançamentos!A549),Lançamentos!A549,"")</f>
        <v/>
      </c>
      <c r="B549" s="1" t="str">
        <f>IF(Lançamentos!B549="","",Lançamentos!B549)</f>
        <v/>
      </c>
      <c r="C549" s="12" t="str">
        <f>IF(ISNUMBER(Lançamentos!C549),Lançamentos!C549,"")</f>
        <v/>
      </c>
      <c r="D549" s="10" t="str">
        <f>IF(A549="","",SUM(Lançamentos!D$9:D549))</f>
        <v/>
      </c>
      <c r="E549" s="1"/>
      <c r="F549" s="11" t="str">
        <f>IF(A549="","",SUM(Lançamentos!F$9:F549))</f>
        <v/>
      </c>
      <c r="G549" s="11" t="str">
        <f>IF(A549="","",SUM(Lançamentos!G$9:G549))</f>
        <v/>
      </c>
      <c r="H549" s="11" t="str">
        <f>IF(A549="","",SUM(Lançamentos!H$9:H549))</f>
        <v/>
      </c>
      <c r="I549" s="12" t="str">
        <f>IF(A549="","",SUM(Lançamentos!C$9:C549))</f>
        <v/>
      </c>
      <c r="J549" s="13" t="str">
        <f>IF(Lançamentos!J549="","",Lançamentos!J549)</f>
        <v/>
      </c>
    </row>
    <row r="550" spans="1:10" ht="23.1" customHeight="1">
      <c r="A550" s="1" t="str">
        <f>IF(ISNUMBER(Lançamentos!A550),Lançamentos!A550,"")</f>
        <v/>
      </c>
      <c r="B550" s="1" t="str">
        <f>IF(Lançamentos!B550="","",Lançamentos!B550)</f>
        <v/>
      </c>
      <c r="C550" s="12" t="str">
        <f>IF(ISNUMBER(Lançamentos!C550),Lançamentos!C550,"")</f>
        <v/>
      </c>
      <c r="D550" s="10" t="str">
        <f>IF(A550="","",SUM(Lançamentos!D$9:D550))</f>
        <v/>
      </c>
      <c r="E550" s="1"/>
      <c r="F550" s="11" t="str">
        <f>IF(A550="","",SUM(Lançamentos!F$9:F550))</f>
        <v/>
      </c>
      <c r="G550" s="11" t="str">
        <f>IF(A550="","",SUM(Lançamentos!G$9:G550))</f>
        <v/>
      </c>
      <c r="H550" s="11" t="str">
        <f>IF(A550="","",SUM(Lançamentos!H$9:H550))</f>
        <v/>
      </c>
      <c r="I550" s="12" t="str">
        <f>IF(A550="","",SUM(Lançamentos!C$9:C550))</f>
        <v/>
      </c>
      <c r="J550" s="13" t="str">
        <f>IF(Lançamentos!J550="","",Lançamentos!J550)</f>
        <v/>
      </c>
    </row>
    <row r="551" spans="1:10" ht="23.1" customHeight="1">
      <c r="A551" s="1" t="str">
        <f>IF(ISNUMBER(Lançamentos!A551),Lançamentos!A551,"")</f>
        <v/>
      </c>
      <c r="B551" s="1" t="str">
        <f>IF(Lançamentos!B551="","",Lançamentos!B551)</f>
        <v/>
      </c>
      <c r="C551" s="12" t="str">
        <f>IF(ISNUMBER(Lançamentos!C551),Lançamentos!C551,"")</f>
        <v/>
      </c>
      <c r="D551" s="10" t="str">
        <f>IF(A551="","",SUM(Lançamentos!D$9:D551))</f>
        <v/>
      </c>
      <c r="E551" s="1"/>
      <c r="F551" s="11" t="str">
        <f>IF(A551="","",SUM(Lançamentos!F$9:F551))</f>
        <v/>
      </c>
      <c r="G551" s="11" t="str">
        <f>IF(A551="","",SUM(Lançamentos!G$9:G551))</f>
        <v/>
      </c>
      <c r="H551" s="11" t="str">
        <f>IF(A551="","",SUM(Lançamentos!H$9:H551))</f>
        <v/>
      </c>
      <c r="I551" s="12" t="str">
        <f>IF(A551="","",SUM(Lançamentos!C$9:C551))</f>
        <v/>
      </c>
      <c r="J551" s="13" t="str">
        <f>IF(Lançamentos!J551="","",Lançamentos!J551)</f>
        <v/>
      </c>
    </row>
    <row r="552" spans="1:10" ht="23.1" customHeight="1">
      <c r="A552" s="1" t="str">
        <f>IF(ISNUMBER(Lançamentos!A552),Lançamentos!A552,"")</f>
        <v/>
      </c>
      <c r="B552" s="1" t="str">
        <f>IF(Lançamentos!B552="","",Lançamentos!B552)</f>
        <v/>
      </c>
      <c r="C552" s="12" t="str">
        <f>IF(ISNUMBER(Lançamentos!C552),Lançamentos!C552,"")</f>
        <v/>
      </c>
      <c r="D552" s="10" t="str">
        <f>IF(A552="","",SUM(Lançamentos!D$9:D552))</f>
        <v/>
      </c>
      <c r="E552" s="1"/>
      <c r="F552" s="11" t="str">
        <f>IF(A552="","",SUM(Lançamentos!F$9:F552))</f>
        <v/>
      </c>
      <c r="G552" s="11" t="str">
        <f>IF(A552="","",SUM(Lançamentos!G$9:G552))</f>
        <v/>
      </c>
      <c r="H552" s="11" t="str">
        <f>IF(A552="","",SUM(Lançamentos!H$9:H552))</f>
        <v/>
      </c>
      <c r="I552" s="12" t="str">
        <f>IF(A552="","",SUM(Lançamentos!C$9:C552))</f>
        <v/>
      </c>
      <c r="J552" s="13" t="str">
        <f>IF(Lançamentos!J552="","",Lançamentos!J552)</f>
        <v/>
      </c>
    </row>
    <row r="553" spans="1:10" ht="23.1" customHeight="1">
      <c r="A553" s="1" t="str">
        <f>IF(ISNUMBER(Lançamentos!A553),Lançamentos!A553,"")</f>
        <v/>
      </c>
      <c r="B553" s="1" t="str">
        <f>IF(Lançamentos!B553="","",Lançamentos!B553)</f>
        <v/>
      </c>
      <c r="C553" s="12" t="str">
        <f>IF(ISNUMBER(Lançamentos!C553),Lançamentos!C553,"")</f>
        <v/>
      </c>
      <c r="D553" s="10" t="str">
        <f>IF(A553="","",SUM(Lançamentos!D$9:D553))</f>
        <v/>
      </c>
      <c r="E553" s="1"/>
      <c r="F553" s="11" t="str">
        <f>IF(A553="","",SUM(Lançamentos!F$9:F553))</f>
        <v/>
      </c>
      <c r="G553" s="11" t="str">
        <f>IF(A553="","",SUM(Lançamentos!G$9:G553))</f>
        <v/>
      </c>
      <c r="H553" s="11" t="str">
        <f>IF(A553="","",SUM(Lançamentos!H$9:H553))</f>
        <v/>
      </c>
      <c r="I553" s="12" t="str">
        <f>IF(A553="","",SUM(Lançamentos!C$9:C553))</f>
        <v/>
      </c>
      <c r="J553" s="13" t="str">
        <f>IF(Lançamentos!J553="","",Lançamentos!J553)</f>
        <v/>
      </c>
    </row>
    <row r="554" spans="1:10" ht="23.1" customHeight="1">
      <c r="A554" s="1" t="str">
        <f>IF(ISNUMBER(Lançamentos!A554),Lançamentos!A554,"")</f>
        <v/>
      </c>
      <c r="B554" s="1" t="str">
        <f>IF(Lançamentos!B554="","",Lançamentos!B554)</f>
        <v/>
      </c>
      <c r="C554" s="12" t="str">
        <f>IF(ISNUMBER(Lançamentos!C554),Lançamentos!C554,"")</f>
        <v/>
      </c>
      <c r="D554" s="10" t="str">
        <f>IF(A554="","",SUM(Lançamentos!D$9:D554))</f>
        <v/>
      </c>
      <c r="E554" s="1"/>
      <c r="F554" s="11" t="str">
        <f>IF(A554="","",SUM(Lançamentos!F$9:F554))</f>
        <v/>
      </c>
      <c r="G554" s="11" t="str">
        <f>IF(A554="","",SUM(Lançamentos!G$9:G554))</f>
        <v/>
      </c>
      <c r="H554" s="11" t="str">
        <f>IF(A554="","",SUM(Lançamentos!H$9:H554))</f>
        <v/>
      </c>
      <c r="I554" s="12" t="str">
        <f>IF(A554="","",SUM(Lançamentos!C$9:C554))</f>
        <v/>
      </c>
      <c r="J554" s="13" t="str">
        <f>IF(Lançamentos!J554="","",Lançamentos!J554)</f>
        <v/>
      </c>
    </row>
    <row r="555" spans="1:10" ht="23.1" customHeight="1">
      <c r="A555" s="1" t="str">
        <f>IF(ISNUMBER(Lançamentos!A555),Lançamentos!A555,"")</f>
        <v/>
      </c>
      <c r="B555" s="1" t="str">
        <f>IF(Lançamentos!B555="","",Lançamentos!B555)</f>
        <v/>
      </c>
      <c r="C555" s="12" t="str">
        <f>IF(ISNUMBER(Lançamentos!C555),Lançamentos!C555,"")</f>
        <v/>
      </c>
      <c r="D555" s="10" t="str">
        <f>IF(A555="","",SUM(Lançamentos!D$9:D555))</f>
        <v/>
      </c>
      <c r="E555" s="1"/>
      <c r="F555" s="11" t="str">
        <f>IF(A555="","",SUM(Lançamentos!F$9:F555))</f>
        <v/>
      </c>
      <c r="G555" s="11" t="str">
        <f>IF(A555="","",SUM(Lançamentos!G$9:G555))</f>
        <v/>
      </c>
      <c r="H555" s="11" t="str">
        <f>IF(A555="","",SUM(Lançamentos!H$9:H555))</f>
        <v/>
      </c>
      <c r="I555" s="12" t="str">
        <f>IF(A555="","",SUM(Lançamentos!C$9:C555))</f>
        <v/>
      </c>
      <c r="J555" s="13" t="str">
        <f>IF(Lançamentos!J555="","",Lançamentos!J555)</f>
        <v/>
      </c>
    </row>
    <row r="556" spans="1:10" ht="23.1" customHeight="1">
      <c r="A556" s="1" t="str">
        <f>IF(ISNUMBER(Lançamentos!A556),Lançamentos!A556,"")</f>
        <v/>
      </c>
      <c r="B556" s="1" t="str">
        <f>IF(Lançamentos!B556="","",Lançamentos!B556)</f>
        <v/>
      </c>
      <c r="C556" s="12" t="str">
        <f>IF(ISNUMBER(Lançamentos!C556),Lançamentos!C556,"")</f>
        <v/>
      </c>
      <c r="D556" s="10" t="str">
        <f>IF(A556="","",SUM(Lançamentos!D$9:D556))</f>
        <v/>
      </c>
      <c r="E556" s="1"/>
      <c r="F556" s="11" t="str">
        <f>IF(A556="","",SUM(Lançamentos!F$9:F556))</f>
        <v/>
      </c>
      <c r="G556" s="11" t="str">
        <f>IF(A556="","",SUM(Lançamentos!G$9:G556))</f>
        <v/>
      </c>
      <c r="H556" s="11" t="str">
        <f>IF(A556="","",SUM(Lançamentos!H$9:H556))</f>
        <v/>
      </c>
      <c r="I556" s="12" t="str">
        <f>IF(A556="","",SUM(Lançamentos!C$9:C556))</f>
        <v/>
      </c>
      <c r="J556" s="13" t="str">
        <f>IF(Lançamentos!J556="","",Lançamentos!J556)</f>
        <v/>
      </c>
    </row>
    <row r="557" spans="1:10" ht="23.1" customHeight="1">
      <c r="A557" s="1" t="str">
        <f>IF(ISNUMBER(Lançamentos!A557),Lançamentos!A557,"")</f>
        <v/>
      </c>
      <c r="B557" s="1" t="str">
        <f>IF(Lançamentos!B557="","",Lançamentos!B557)</f>
        <v/>
      </c>
      <c r="C557" s="12" t="str">
        <f>IF(ISNUMBER(Lançamentos!C557),Lançamentos!C557,"")</f>
        <v/>
      </c>
      <c r="D557" s="10" t="str">
        <f>IF(A557="","",SUM(Lançamentos!D$9:D557))</f>
        <v/>
      </c>
      <c r="E557" s="1"/>
      <c r="F557" s="11" t="str">
        <f>IF(A557="","",SUM(Lançamentos!F$9:F557))</f>
        <v/>
      </c>
      <c r="G557" s="11" t="str">
        <f>IF(A557="","",SUM(Lançamentos!G$9:G557))</f>
        <v/>
      </c>
      <c r="H557" s="11" t="str">
        <f>IF(A557="","",SUM(Lançamentos!H$9:H557))</f>
        <v/>
      </c>
      <c r="I557" s="12" t="str">
        <f>IF(A557="","",SUM(Lançamentos!C$9:C557))</f>
        <v/>
      </c>
      <c r="J557" s="13" t="str">
        <f>IF(Lançamentos!J557="","",Lançamentos!J557)</f>
        <v/>
      </c>
    </row>
    <row r="558" spans="1:10" ht="23.1" customHeight="1">
      <c r="A558" s="1" t="str">
        <f>IF(ISNUMBER(Lançamentos!A558),Lançamentos!A558,"")</f>
        <v/>
      </c>
      <c r="B558" s="1" t="str">
        <f>IF(Lançamentos!B558="","",Lançamentos!B558)</f>
        <v/>
      </c>
      <c r="C558" s="12" t="str">
        <f>IF(ISNUMBER(Lançamentos!C558),Lançamentos!C558,"")</f>
        <v/>
      </c>
      <c r="D558" s="10" t="str">
        <f>IF(A558="","",SUM(Lançamentos!D$9:D558))</f>
        <v/>
      </c>
      <c r="E558" s="1"/>
      <c r="F558" s="11" t="str">
        <f>IF(A558="","",SUM(Lançamentos!F$9:F558))</f>
        <v/>
      </c>
      <c r="G558" s="11" t="str">
        <f>IF(A558="","",SUM(Lançamentos!G$9:G558))</f>
        <v/>
      </c>
      <c r="H558" s="11" t="str">
        <f>IF(A558="","",SUM(Lançamentos!H$9:H558))</f>
        <v/>
      </c>
      <c r="I558" s="12" t="str">
        <f>IF(A558="","",SUM(Lançamentos!C$9:C558))</f>
        <v/>
      </c>
      <c r="J558" s="13" t="str">
        <f>IF(Lançamentos!J558="","",Lançamentos!J558)</f>
        <v/>
      </c>
    </row>
    <row r="559" spans="1:10" ht="23.1" customHeight="1">
      <c r="A559" s="1" t="str">
        <f>IF(ISNUMBER(Lançamentos!A559),Lançamentos!A559,"")</f>
        <v/>
      </c>
      <c r="B559" s="1" t="str">
        <f>IF(Lançamentos!B559="","",Lançamentos!B559)</f>
        <v/>
      </c>
      <c r="C559" s="12" t="str">
        <f>IF(ISNUMBER(Lançamentos!C559),Lançamentos!C559,"")</f>
        <v/>
      </c>
      <c r="D559" s="10" t="str">
        <f>IF(A559="","",SUM(Lançamentos!D$9:D559))</f>
        <v/>
      </c>
      <c r="E559" s="1"/>
      <c r="F559" s="11" t="str">
        <f>IF(A559="","",SUM(Lançamentos!F$9:F559))</f>
        <v/>
      </c>
      <c r="G559" s="11" t="str">
        <f>IF(A559="","",SUM(Lançamentos!G$9:G559))</f>
        <v/>
      </c>
      <c r="H559" s="11" t="str">
        <f>IF(A559="","",SUM(Lançamentos!H$9:H559))</f>
        <v/>
      </c>
      <c r="I559" s="12" t="str">
        <f>IF(A559="","",SUM(Lançamentos!C$9:C559))</f>
        <v/>
      </c>
      <c r="J559" s="13" t="str">
        <f>IF(Lançamentos!J559="","",Lançamentos!J559)</f>
        <v/>
      </c>
    </row>
    <row r="560" spans="1:10" ht="23.1" customHeight="1">
      <c r="A560" s="1" t="str">
        <f>IF(ISNUMBER(Lançamentos!A560),Lançamentos!A560,"")</f>
        <v/>
      </c>
      <c r="B560" s="1" t="str">
        <f>IF(Lançamentos!B560="","",Lançamentos!B560)</f>
        <v/>
      </c>
      <c r="C560" s="12" t="str">
        <f>IF(ISNUMBER(Lançamentos!C560),Lançamentos!C560,"")</f>
        <v/>
      </c>
      <c r="D560" s="10" t="str">
        <f>IF(A560="","",SUM(Lançamentos!D$9:D560))</f>
        <v/>
      </c>
      <c r="E560" s="1"/>
      <c r="F560" s="11" t="str">
        <f>IF(A560="","",SUM(Lançamentos!F$9:F560))</f>
        <v/>
      </c>
      <c r="G560" s="11" t="str">
        <f>IF(A560="","",SUM(Lançamentos!G$9:G560))</f>
        <v/>
      </c>
      <c r="H560" s="11" t="str">
        <f>IF(A560="","",SUM(Lançamentos!H$9:H560))</f>
        <v/>
      </c>
      <c r="I560" s="12" t="str">
        <f>IF(A560="","",SUM(Lançamentos!C$9:C560))</f>
        <v/>
      </c>
      <c r="J560" s="13" t="str">
        <f>IF(Lançamentos!J560="","",Lançamentos!J560)</f>
        <v/>
      </c>
    </row>
    <row r="561" spans="1:10" ht="23.1" customHeight="1">
      <c r="A561" s="1" t="str">
        <f>IF(ISNUMBER(Lançamentos!A561),Lançamentos!A561,"")</f>
        <v/>
      </c>
      <c r="B561" s="1" t="str">
        <f>IF(Lançamentos!B561="","",Lançamentos!B561)</f>
        <v/>
      </c>
      <c r="C561" s="12" t="str">
        <f>IF(ISNUMBER(Lançamentos!C561),Lançamentos!C561,"")</f>
        <v/>
      </c>
      <c r="D561" s="10" t="str">
        <f>IF(A561="","",SUM(Lançamentos!D$9:D561))</f>
        <v/>
      </c>
      <c r="E561" s="1"/>
      <c r="F561" s="11" t="str">
        <f>IF(A561="","",SUM(Lançamentos!F$9:F561))</f>
        <v/>
      </c>
      <c r="G561" s="11" t="str">
        <f>IF(A561="","",SUM(Lançamentos!G$9:G561))</f>
        <v/>
      </c>
      <c r="H561" s="11" t="str">
        <f>IF(A561="","",SUM(Lançamentos!H$9:H561))</f>
        <v/>
      </c>
      <c r="I561" s="12" t="str">
        <f>IF(A561="","",SUM(Lançamentos!C$9:C561))</f>
        <v/>
      </c>
      <c r="J561" s="13" t="str">
        <f>IF(Lançamentos!J561="","",Lançamentos!J561)</f>
        <v/>
      </c>
    </row>
    <row r="562" spans="1:10" ht="23.1" customHeight="1">
      <c r="A562" s="1" t="str">
        <f>IF(ISNUMBER(Lançamentos!A562),Lançamentos!A562,"")</f>
        <v/>
      </c>
      <c r="B562" s="1" t="str">
        <f>IF(Lançamentos!B562="","",Lançamentos!B562)</f>
        <v/>
      </c>
      <c r="C562" s="12" t="str">
        <f>IF(ISNUMBER(Lançamentos!C562),Lançamentos!C562,"")</f>
        <v/>
      </c>
      <c r="D562" s="10" t="str">
        <f>IF(A562="","",SUM(Lançamentos!D$9:D562))</f>
        <v/>
      </c>
      <c r="E562" s="1"/>
      <c r="F562" s="11" t="str">
        <f>IF(A562="","",SUM(Lançamentos!F$9:F562))</f>
        <v/>
      </c>
      <c r="G562" s="11" t="str">
        <f>IF(A562="","",SUM(Lançamentos!G$9:G562))</f>
        <v/>
      </c>
      <c r="H562" s="11" t="str">
        <f>IF(A562="","",SUM(Lançamentos!H$9:H562))</f>
        <v/>
      </c>
      <c r="I562" s="12" t="str">
        <f>IF(A562="","",SUM(Lançamentos!C$9:C562))</f>
        <v/>
      </c>
      <c r="J562" s="13" t="str">
        <f>IF(Lançamentos!J562="","",Lançamentos!J562)</f>
        <v/>
      </c>
    </row>
    <row r="563" spans="1:10" ht="23.1" customHeight="1">
      <c r="A563" s="1" t="str">
        <f>IF(ISNUMBER(Lançamentos!A563),Lançamentos!A563,"")</f>
        <v/>
      </c>
      <c r="B563" s="1" t="str">
        <f>IF(Lançamentos!B563="","",Lançamentos!B563)</f>
        <v/>
      </c>
      <c r="C563" s="12" t="str">
        <f>IF(ISNUMBER(Lançamentos!C563),Lançamentos!C563,"")</f>
        <v/>
      </c>
      <c r="D563" s="10" t="str">
        <f>IF(A563="","",SUM(Lançamentos!D$9:D563))</f>
        <v/>
      </c>
      <c r="E563" s="1"/>
      <c r="F563" s="11" t="str">
        <f>IF(A563="","",SUM(Lançamentos!F$9:F563))</f>
        <v/>
      </c>
      <c r="G563" s="11" t="str">
        <f>IF(A563="","",SUM(Lançamentos!G$9:G563))</f>
        <v/>
      </c>
      <c r="H563" s="11" t="str">
        <f>IF(A563="","",SUM(Lançamentos!H$9:H563))</f>
        <v/>
      </c>
      <c r="I563" s="12" t="str">
        <f>IF(A563="","",SUM(Lançamentos!C$9:C563))</f>
        <v/>
      </c>
      <c r="J563" s="13" t="str">
        <f>IF(Lançamentos!J563="","",Lançamentos!J563)</f>
        <v/>
      </c>
    </row>
    <row r="564" spans="1:10" ht="23.1" customHeight="1">
      <c r="A564" s="1" t="str">
        <f>IF(ISNUMBER(Lançamentos!A564),Lançamentos!A564,"")</f>
        <v/>
      </c>
      <c r="B564" s="1" t="str">
        <f>IF(Lançamentos!B564="","",Lançamentos!B564)</f>
        <v/>
      </c>
      <c r="C564" s="12" t="str">
        <f>IF(ISNUMBER(Lançamentos!C564),Lançamentos!C564,"")</f>
        <v/>
      </c>
      <c r="D564" s="10" t="str">
        <f>IF(A564="","",SUM(Lançamentos!D$9:D564))</f>
        <v/>
      </c>
      <c r="E564" s="1"/>
      <c r="F564" s="11" t="str">
        <f>IF(A564="","",SUM(Lançamentos!F$9:F564))</f>
        <v/>
      </c>
      <c r="G564" s="11" t="str">
        <f>IF(A564="","",SUM(Lançamentos!G$9:G564))</f>
        <v/>
      </c>
      <c r="H564" s="11" t="str">
        <f>IF(A564="","",SUM(Lançamentos!H$9:H564))</f>
        <v/>
      </c>
      <c r="I564" s="12" t="str">
        <f>IF(A564="","",SUM(Lançamentos!C$9:C564))</f>
        <v/>
      </c>
      <c r="J564" s="13" t="str">
        <f>IF(Lançamentos!J564="","",Lançamentos!J564)</f>
        <v/>
      </c>
    </row>
    <row r="565" spans="1:10" ht="23.1" customHeight="1">
      <c r="A565" s="1" t="str">
        <f>IF(ISNUMBER(Lançamentos!A565),Lançamentos!A565,"")</f>
        <v/>
      </c>
      <c r="B565" s="1" t="str">
        <f>IF(Lançamentos!B565="","",Lançamentos!B565)</f>
        <v/>
      </c>
      <c r="C565" s="12" t="str">
        <f>IF(ISNUMBER(Lançamentos!C565),Lançamentos!C565,"")</f>
        <v/>
      </c>
      <c r="D565" s="10" t="str">
        <f>IF(A565="","",SUM(Lançamentos!D$9:D565))</f>
        <v/>
      </c>
      <c r="E565" s="1"/>
      <c r="F565" s="11" t="str">
        <f>IF(A565="","",SUM(Lançamentos!F$9:F565))</f>
        <v/>
      </c>
      <c r="G565" s="11" t="str">
        <f>IF(A565="","",SUM(Lançamentos!G$9:G565))</f>
        <v/>
      </c>
      <c r="H565" s="11" t="str">
        <f>IF(A565="","",SUM(Lançamentos!H$9:H565))</f>
        <v/>
      </c>
      <c r="I565" s="12" t="str">
        <f>IF(A565="","",SUM(Lançamentos!C$9:C565))</f>
        <v/>
      </c>
      <c r="J565" s="13" t="str">
        <f>IF(Lançamentos!J565="","",Lançamentos!J565)</f>
        <v/>
      </c>
    </row>
    <row r="566" spans="1:10" ht="23.1" customHeight="1">
      <c r="A566" s="1" t="str">
        <f>IF(ISNUMBER(Lançamentos!A566),Lançamentos!A566,"")</f>
        <v/>
      </c>
      <c r="B566" s="1" t="str">
        <f>IF(Lançamentos!B566="","",Lançamentos!B566)</f>
        <v/>
      </c>
      <c r="C566" s="12" t="str">
        <f>IF(ISNUMBER(Lançamentos!C566),Lançamentos!C566,"")</f>
        <v/>
      </c>
      <c r="D566" s="10" t="str">
        <f>IF(A566="","",SUM(Lançamentos!D$9:D566))</f>
        <v/>
      </c>
      <c r="E566" s="1"/>
      <c r="F566" s="11" t="str">
        <f>IF(A566="","",SUM(Lançamentos!F$9:F566))</f>
        <v/>
      </c>
      <c r="G566" s="11" t="str">
        <f>IF(A566="","",SUM(Lançamentos!G$9:G566))</f>
        <v/>
      </c>
      <c r="H566" s="11" t="str">
        <f>IF(A566="","",SUM(Lançamentos!H$9:H566))</f>
        <v/>
      </c>
      <c r="I566" s="12" t="str">
        <f>IF(A566="","",SUM(Lançamentos!C$9:C566))</f>
        <v/>
      </c>
      <c r="J566" s="13" t="str">
        <f>IF(Lançamentos!J566="","",Lançamentos!J566)</f>
        <v/>
      </c>
    </row>
    <row r="567" spans="1:10" ht="23.1" customHeight="1">
      <c r="A567" s="1" t="str">
        <f>IF(ISNUMBER(Lançamentos!A567),Lançamentos!A567,"")</f>
        <v/>
      </c>
      <c r="B567" s="1" t="str">
        <f>IF(Lançamentos!B567="","",Lançamentos!B567)</f>
        <v/>
      </c>
      <c r="C567" s="12" t="str">
        <f>IF(ISNUMBER(Lançamentos!C567),Lançamentos!C567,"")</f>
        <v/>
      </c>
      <c r="D567" s="10" t="str">
        <f>IF(A567="","",SUM(Lançamentos!D$9:D567))</f>
        <v/>
      </c>
      <c r="E567" s="1"/>
      <c r="F567" s="11" t="str">
        <f>IF(A567="","",SUM(Lançamentos!F$9:F567))</f>
        <v/>
      </c>
      <c r="G567" s="11" t="str">
        <f>IF(A567="","",SUM(Lançamentos!G$9:G567))</f>
        <v/>
      </c>
      <c r="H567" s="11" t="str">
        <f>IF(A567="","",SUM(Lançamentos!H$9:H567))</f>
        <v/>
      </c>
      <c r="I567" s="12" t="str">
        <f>IF(A567="","",SUM(Lançamentos!C$9:C567))</f>
        <v/>
      </c>
      <c r="J567" s="13" t="str">
        <f>IF(Lançamentos!J567="","",Lançamentos!J567)</f>
        <v/>
      </c>
    </row>
    <row r="568" spans="1:10" ht="23.1" customHeight="1">
      <c r="A568" s="1" t="str">
        <f>IF(ISNUMBER(Lançamentos!A568),Lançamentos!A568,"")</f>
        <v/>
      </c>
      <c r="B568" s="1" t="str">
        <f>IF(Lançamentos!B568="","",Lançamentos!B568)</f>
        <v/>
      </c>
      <c r="C568" s="12" t="str">
        <f>IF(ISNUMBER(Lançamentos!C568),Lançamentos!C568,"")</f>
        <v/>
      </c>
      <c r="D568" s="10" t="str">
        <f>IF(A568="","",SUM(Lançamentos!D$9:D568))</f>
        <v/>
      </c>
      <c r="E568" s="1"/>
      <c r="F568" s="11" t="str">
        <f>IF(A568="","",SUM(Lançamentos!F$9:F568))</f>
        <v/>
      </c>
      <c r="G568" s="11" t="str">
        <f>IF(A568="","",SUM(Lançamentos!G$9:G568))</f>
        <v/>
      </c>
      <c r="H568" s="11" t="str">
        <f>IF(A568="","",SUM(Lançamentos!H$9:H568))</f>
        <v/>
      </c>
      <c r="I568" s="12" t="str">
        <f>IF(A568="","",SUM(Lançamentos!C$9:C568))</f>
        <v/>
      </c>
      <c r="J568" s="13" t="str">
        <f>IF(Lançamentos!J568="","",Lançamentos!J568)</f>
        <v/>
      </c>
    </row>
    <row r="569" spans="1:10" ht="23.1" customHeight="1">
      <c r="A569" s="1" t="str">
        <f>IF(ISNUMBER(Lançamentos!A569),Lançamentos!A569,"")</f>
        <v/>
      </c>
      <c r="B569" s="1" t="str">
        <f>IF(Lançamentos!B569="","",Lançamentos!B569)</f>
        <v/>
      </c>
      <c r="C569" s="12" t="str">
        <f>IF(ISNUMBER(Lançamentos!C569),Lançamentos!C569,"")</f>
        <v/>
      </c>
      <c r="D569" s="10" t="str">
        <f>IF(A569="","",SUM(Lançamentos!D$9:D569))</f>
        <v/>
      </c>
      <c r="E569" s="1"/>
      <c r="F569" s="11" t="str">
        <f>IF(A569="","",SUM(Lançamentos!F$9:F569))</f>
        <v/>
      </c>
      <c r="G569" s="11" t="str">
        <f>IF(A569="","",SUM(Lançamentos!G$9:G569))</f>
        <v/>
      </c>
      <c r="H569" s="11" t="str">
        <f>IF(A569="","",SUM(Lançamentos!H$9:H569))</f>
        <v/>
      </c>
      <c r="I569" s="12" t="str">
        <f>IF(A569="","",SUM(Lançamentos!C$9:C569))</f>
        <v/>
      </c>
      <c r="J569" s="13" t="str">
        <f>IF(Lançamentos!J569="","",Lançamentos!J569)</f>
        <v/>
      </c>
    </row>
    <row r="570" spans="1:10" ht="23.1" customHeight="1">
      <c r="A570" s="1" t="str">
        <f>IF(ISNUMBER(Lançamentos!A570),Lançamentos!A570,"")</f>
        <v/>
      </c>
      <c r="B570" s="1" t="str">
        <f>IF(Lançamentos!B570="","",Lançamentos!B570)</f>
        <v/>
      </c>
      <c r="C570" s="12" t="str">
        <f>IF(ISNUMBER(Lançamentos!C570),Lançamentos!C570,"")</f>
        <v/>
      </c>
      <c r="D570" s="10" t="str">
        <f>IF(A570="","",SUM(Lançamentos!D$9:D570))</f>
        <v/>
      </c>
      <c r="E570" s="1"/>
      <c r="F570" s="11" t="str">
        <f>IF(A570="","",SUM(Lançamentos!F$9:F570))</f>
        <v/>
      </c>
      <c r="G570" s="11" t="str">
        <f>IF(A570="","",SUM(Lançamentos!G$9:G570))</f>
        <v/>
      </c>
      <c r="H570" s="11" t="str">
        <f>IF(A570="","",SUM(Lançamentos!H$9:H570))</f>
        <v/>
      </c>
      <c r="I570" s="12" t="str">
        <f>IF(A570="","",SUM(Lançamentos!C$9:C570))</f>
        <v/>
      </c>
      <c r="J570" s="13" t="str">
        <f>IF(Lançamentos!J570="","",Lançamentos!J570)</f>
        <v/>
      </c>
    </row>
    <row r="571" spans="1:10" ht="23.1" customHeight="1">
      <c r="A571" s="1" t="str">
        <f>IF(ISNUMBER(Lançamentos!A571),Lançamentos!A571,"")</f>
        <v/>
      </c>
      <c r="B571" s="1" t="str">
        <f>IF(Lançamentos!B571="","",Lançamentos!B571)</f>
        <v/>
      </c>
      <c r="C571" s="12" t="str">
        <f>IF(ISNUMBER(Lançamentos!C571),Lançamentos!C571,"")</f>
        <v/>
      </c>
      <c r="D571" s="10" t="str">
        <f>IF(A571="","",SUM(Lançamentos!D$9:D571))</f>
        <v/>
      </c>
      <c r="E571" s="1"/>
      <c r="F571" s="11" t="str">
        <f>IF(A571="","",SUM(Lançamentos!F$9:F571))</f>
        <v/>
      </c>
      <c r="G571" s="11" t="str">
        <f>IF(A571="","",SUM(Lançamentos!G$9:G571))</f>
        <v/>
      </c>
      <c r="H571" s="11" t="str">
        <f>IF(A571="","",SUM(Lançamentos!H$9:H571))</f>
        <v/>
      </c>
      <c r="I571" s="12" t="str">
        <f>IF(A571="","",SUM(Lançamentos!C$9:C571))</f>
        <v/>
      </c>
      <c r="J571" s="13" t="str">
        <f>IF(Lançamentos!J571="","",Lançamentos!J571)</f>
        <v/>
      </c>
    </row>
    <row r="572" spans="1:10" ht="23.1" customHeight="1">
      <c r="A572" s="1" t="str">
        <f>IF(ISNUMBER(Lançamentos!A572),Lançamentos!A572,"")</f>
        <v/>
      </c>
      <c r="B572" s="1" t="str">
        <f>IF(Lançamentos!B572="","",Lançamentos!B572)</f>
        <v/>
      </c>
      <c r="C572" s="12" t="str">
        <f>IF(ISNUMBER(Lançamentos!C572),Lançamentos!C572,"")</f>
        <v/>
      </c>
      <c r="D572" s="10" t="str">
        <f>IF(A572="","",SUM(Lançamentos!D$9:D572))</f>
        <v/>
      </c>
      <c r="E572" s="1"/>
      <c r="F572" s="11" t="str">
        <f>IF(A572="","",SUM(Lançamentos!F$9:F572))</f>
        <v/>
      </c>
      <c r="G572" s="11" t="str">
        <f>IF(A572="","",SUM(Lançamentos!G$9:G572))</f>
        <v/>
      </c>
      <c r="H572" s="11" t="str">
        <f>IF(A572="","",SUM(Lançamentos!H$9:H572))</f>
        <v/>
      </c>
      <c r="I572" s="12" t="str">
        <f>IF(A572="","",SUM(Lançamentos!C$9:C572))</f>
        <v/>
      </c>
      <c r="J572" s="13" t="str">
        <f>IF(Lançamentos!J572="","",Lançamentos!J572)</f>
        <v/>
      </c>
    </row>
    <row r="573" spans="1:10" ht="23.1" customHeight="1">
      <c r="A573" s="1" t="str">
        <f>IF(ISNUMBER(Lançamentos!A573),Lançamentos!A573,"")</f>
        <v/>
      </c>
      <c r="B573" s="1" t="str">
        <f>IF(Lançamentos!B573="","",Lançamentos!B573)</f>
        <v/>
      </c>
      <c r="C573" s="12" t="str">
        <f>IF(ISNUMBER(Lançamentos!C573),Lançamentos!C573,"")</f>
        <v/>
      </c>
      <c r="D573" s="10" t="str">
        <f>IF(A573="","",SUM(Lançamentos!D$9:D573))</f>
        <v/>
      </c>
      <c r="E573" s="1"/>
      <c r="F573" s="11" t="str">
        <f>IF(A573="","",SUM(Lançamentos!F$9:F573))</f>
        <v/>
      </c>
      <c r="G573" s="11" t="str">
        <f>IF(A573="","",SUM(Lançamentos!G$9:G573))</f>
        <v/>
      </c>
      <c r="H573" s="11" t="str">
        <f>IF(A573="","",SUM(Lançamentos!H$9:H573))</f>
        <v/>
      </c>
      <c r="I573" s="12" t="str">
        <f>IF(A573="","",SUM(Lançamentos!C$9:C573))</f>
        <v/>
      </c>
      <c r="J573" s="13" t="str">
        <f>IF(Lançamentos!J573="","",Lançamentos!J573)</f>
        <v/>
      </c>
    </row>
    <row r="574" spans="1:10" ht="23.1" customHeight="1">
      <c r="A574" s="1" t="str">
        <f>IF(ISNUMBER(Lançamentos!A574),Lançamentos!A574,"")</f>
        <v/>
      </c>
      <c r="B574" s="1" t="str">
        <f>IF(Lançamentos!B574="","",Lançamentos!B574)</f>
        <v/>
      </c>
      <c r="C574" s="12" t="str">
        <f>IF(ISNUMBER(Lançamentos!C574),Lançamentos!C574,"")</f>
        <v/>
      </c>
      <c r="D574" s="10" t="str">
        <f>IF(A574="","",SUM(Lançamentos!D$9:D574))</f>
        <v/>
      </c>
      <c r="E574" s="1"/>
      <c r="F574" s="11" t="str">
        <f>IF(A574="","",SUM(Lançamentos!F$9:F574))</f>
        <v/>
      </c>
      <c r="G574" s="11" t="str">
        <f>IF(A574="","",SUM(Lançamentos!G$9:G574))</f>
        <v/>
      </c>
      <c r="H574" s="11" t="str">
        <f>IF(A574="","",SUM(Lançamentos!H$9:H574))</f>
        <v/>
      </c>
      <c r="I574" s="12" t="str">
        <f>IF(A574="","",SUM(Lançamentos!C$9:C574))</f>
        <v/>
      </c>
      <c r="J574" s="13" t="str">
        <f>IF(Lançamentos!J574="","",Lançamentos!J574)</f>
        <v/>
      </c>
    </row>
    <row r="575" spans="1:10" ht="23.1" customHeight="1">
      <c r="A575" s="1" t="str">
        <f>IF(ISNUMBER(Lançamentos!A575),Lançamentos!A575,"")</f>
        <v/>
      </c>
      <c r="B575" s="1" t="str">
        <f>IF(Lançamentos!B575="","",Lançamentos!B575)</f>
        <v/>
      </c>
      <c r="C575" s="12" t="str">
        <f>IF(ISNUMBER(Lançamentos!C575),Lançamentos!C575,"")</f>
        <v/>
      </c>
      <c r="D575" s="10" t="str">
        <f>IF(A575="","",SUM(Lançamentos!D$9:D575))</f>
        <v/>
      </c>
      <c r="E575" s="1"/>
      <c r="F575" s="11" t="str">
        <f>IF(A575="","",SUM(Lançamentos!F$9:F575))</f>
        <v/>
      </c>
      <c r="G575" s="11" t="str">
        <f>IF(A575="","",SUM(Lançamentos!G$9:G575))</f>
        <v/>
      </c>
      <c r="H575" s="11" t="str">
        <f>IF(A575="","",SUM(Lançamentos!H$9:H575))</f>
        <v/>
      </c>
      <c r="I575" s="12" t="str">
        <f>IF(A575="","",SUM(Lançamentos!C$9:C575))</f>
        <v/>
      </c>
      <c r="J575" s="13" t="str">
        <f>IF(Lançamentos!J575="","",Lançamentos!J575)</f>
        <v/>
      </c>
    </row>
    <row r="576" spans="1:10" ht="23.1" customHeight="1">
      <c r="A576" s="1" t="str">
        <f>IF(ISNUMBER(Lançamentos!A576),Lançamentos!A576,"")</f>
        <v/>
      </c>
      <c r="B576" s="1" t="str">
        <f>IF(Lançamentos!B576="","",Lançamentos!B576)</f>
        <v/>
      </c>
      <c r="C576" s="12" t="str">
        <f>IF(ISNUMBER(Lançamentos!C576),Lançamentos!C576,"")</f>
        <v/>
      </c>
      <c r="D576" s="10" t="str">
        <f>IF(A576="","",SUM(Lançamentos!D$9:D576))</f>
        <v/>
      </c>
      <c r="E576" s="1"/>
      <c r="F576" s="11" t="str">
        <f>IF(A576="","",SUM(Lançamentos!F$9:F576))</f>
        <v/>
      </c>
      <c r="G576" s="11" t="str">
        <f>IF(A576="","",SUM(Lançamentos!G$9:G576))</f>
        <v/>
      </c>
      <c r="H576" s="11" t="str">
        <f>IF(A576="","",SUM(Lançamentos!H$9:H576))</f>
        <v/>
      </c>
      <c r="I576" s="12" t="str">
        <f>IF(A576="","",SUM(Lançamentos!C$9:C576))</f>
        <v/>
      </c>
      <c r="J576" s="13" t="str">
        <f>IF(Lançamentos!J576="","",Lançamentos!J576)</f>
        <v/>
      </c>
    </row>
    <row r="577" spans="1:10" ht="23.1" customHeight="1">
      <c r="A577" s="1" t="str">
        <f>IF(ISNUMBER(Lançamentos!A577),Lançamentos!A577,"")</f>
        <v/>
      </c>
      <c r="B577" s="1" t="str">
        <f>IF(Lançamentos!B577="","",Lançamentos!B577)</f>
        <v/>
      </c>
      <c r="C577" s="12" t="str">
        <f>IF(ISNUMBER(Lançamentos!C577),Lançamentos!C577,"")</f>
        <v/>
      </c>
      <c r="D577" s="10" t="str">
        <f>IF(A577="","",SUM(Lançamentos!D$9:D577))</f>
        <v/>
      </c>
      <c r="E577" s="1"/>
      <c r="F577" s="11" t="str">
        <f>IF(A577="","",SUM(Lançamentos!F$9:F577))</f>
        <v/>
      </c>
      <c r="G577" s="11" t="str">
        <f>IF(A577="","",SUM(Lançamentos!G$9:G577))</f>
        <v/>
      </c>
      <c r="H577" s="11" t="str">
        <f>IF(A577="","",SUM(Lançamentos!H$9:H577))</f>
        <v/>
      </c>
      <c r="I577" s="12" t="str">
        <f>IF(A577="","",SUM(Lançamentos!C$9:C577))</f>
        <v/>
      </c>
      <c r="J577" s="13" t="str">
        <f>IF(Lançamentos!J577="","",Lançamentos!J577)</f>
        <v/>
      </c>
    </row>
    <row r="578" spans="1:10" ht="23.1" customHeight="1">
      <c r="A578" s="1" t="str">
        <f>IF(ISNUMBER(Lançamentos!A578),Lançamentos!A578,"")</f>
        <v/>
      </c>
      <c r="B578" s="1" t="str">
        <f>IF(Lançamentos!B578="","",Lançamentos!B578)</f>
        <v/>
      </c>
      <c r="C578" s="12" t="str">
        <f>IF(ISNUMBER(Lançamentos!C578),Lançamentos!C578,"")</f>
        <v/>
      </c>
      <c r="D578" s="10" t="str">
        <f>IF(A578="","",SUM(Lançamentos!D$9:D578))</f>
        <v/>
      </c>
      <c r="E578" s="1"/>
      <c r="F578" s="11" t="str">
        <f>IF(A578="","",SUM(Lançamentos!F$9:F578))</f>
        <v/>
      </c>
      <c r="G578" s="11" t="str">
        <f>IF(A578="","",SUM(Lançamentos!G$9:G578))</f>
        <v/>
      </c>
      <c r="H578" s="11" t="str">
        <f>IF(A578="","",SUM(Lançamentos!H$9:H578))</f>
        <v/>
      </c>
      <c r="I578" s="12" t="str">
        <f>IF(A578="","",SUM(Lançamentos!C$9:C578))</f>
        <v/>
      </c>
      <c r="J578" s="13" t="str">
        <f>IF(Lançamentos!J578="","",Lançamentos!J578)</f>
        <v/>
      </c>
    </row>
    <row r="579" spans="1:10" ht="23.1" customHeight="1">
      <c r="A579" s="1" t="str">
        <f>IF(ISNUMBER(Lançamentos!A579),Lançamentos!A579,"")</f>
        <v/>
      </c>
      <c r="B579" s="1" t="str">
        <f>IF(Lançamentos!B579="","",Lançamentos!B579)</f>
        <v/>
      </c>
      <c r="C579" s="12" t="str">
        <f>IF(ISNUMBER(Lançamentos!C579),Lançamentos!C579,"")</f>
        <v/>
      </c>
      <c r="D579" s="10" t="str">
        <f>IF(A579="","",SUM(Lançamentos!D$9:D579))</f>
        <v/>
      </c>
      <c r="E579" s="1"/>
      <c r="F579" s="11" t="str">
        <f>IF(A579="","",SUM(Lançamentos!F$9:F579))</f>
        <v/>
      </c>
      <c r="G579" s="11" t="str">
        <f>IF(A579="","",SUM(Lançamentos!G$9:G579))</f>
        <v/>
      </c>
      <c r="H579" s="11" t="str">
        <f>IF(A579="","",SUM(Lançamentos!H$9:H579))</f>
        <v/>
      </c>
      <c r="I579" s="12" t="str">
        <f>IF(A579="","",SUM(Lançamentos!C$9:C579))</f>
        <v/>
      </c>
      <c r="J579" s="13" t="str">
        <f>IF(Lançamentos!J579="","",Lançamentos!J579)</f>
        <v/>
      </c>
    </row>
    <row r="580" spans="1:10" ht="23.1" customHeight="1">
      <c r="A580" s="1" t="str">
        <f>IF(ISNUMBER(Lançamentos!A580),Lançamentos!A580,"")</f>
        <v/>
      </c>
      <c r="B580" s="1" t="str">
        <f>IF(Lançamentos!B580="","",Lançamentos!B580)</f>
        <v/>
      </c>
      <c r="C580" s="12" t="str">
        <f>IF(ISNUMBER(Lançamentos!C580),Lançamentos!C580,"")</f>
        <v/>
      </c>
      <c r="D580" s="10" t="str">
        <f>IF(A580="","",SUM(Lançamentos!D$9:D580))</f>
        <v/>
      </c>
      <c r="E580" s="1"/>
      <c r="F580" s="11" t="str">
        <f>IF(A580="","",SUM(Lançamentos!F$9:F580))</f>
        <v/>
      </c>
      <c r="G580" s="11" t="str">
        <f>IF(A580="","",SUM(Lançamentos!G$9:G580))</f>
        <v/>
      </c>
      <c r="H580" s="11" t="str">
        <f>IF(A580="","",SUM(Lançamentos!H$9:H580))</f>
        <v/>
      </c>
      <c r="I580" s="12" t="str">
        <f>IF(A580="","",SUM(Lançamentos!C$9:C580))</f>
        <v/>
      </c>
      <c r="J580" s="13" t="str">
        <f>IF(Lançamentos!J580="","",Lançamentos!J580)</f>
        <v/>
      </c>
    </row>
    <row r="581" spans="1:10" ht="23.1" customHeight="1">
      <c r="A581" s="1" t="str">
        <f>IF(ISNUMBER(Lançamentos!A581),Lançamentos!A581,"")</f>
        <v/>
      </c>
      <c r="B581" s="1" t="str">
        <f>IF(Lançamentos!B581="","",Lançamentos!B581)</f>
        <v/>
      </c>
      <c r="C581" s="12" t="str">
        <f>IF(ISNUMBER(Lançamentos!C581),Lançamentos!C581,"")</f>
        <v/>
      </c>
      <c r="D581" s="10" t="str">
        <f>IF(A581="","",SUM(Lançamentos!D$9:D581))</f>
        <v/>
      </c>
      <c r="E581" s="1"/>
      <c r="F581" s="11" t="str">
        <f>IF(A581="","",SUM(Lançamentos!F$9:F581))</f>
        <v/>
      </c>
      <c r="G581" s="11" t="str">
        <f>IF(A581="","",SUM(Lançamentos!G$9:G581))</f>
        <v/>
      </c>
      <c r="H581" s="11" t="str">
        <f>IF(A581="","",SUM(Lançamentos!H$9:H581))</f>
        <v/>
      </c>
      <c r="I581" s="12" t="str">
        <f>IF(A581="","",SUM(Lançamentos!C$9:C581))</f>
        <v/>
      </c>
      <c r="J581" s="13" t="str">
        <f>IF(Lançamentos!J581="","",Lançamentos!J581)</f>
        <v/>
      </c>
    </row>
    <row r="582" spans="1:10" ht="23.1" customHeight="1">
      <c r="A582" s="1" t="str">
        <f>IF(ISNUMBER(Lançamentos!A582),Lançamentos!A582,"")</f>
        <v/>
      </c>
      <c r="B582" s="1" t="str">
        <f>IF(Lançamentos!B582="","",Lançamentos!B582)</f>
        <v/>
      </c>
      <c r="C582" s="12" t="str">
        <f>IF(ISNUMBER(Lançamentos!C582),Lançamentos!C582,"")</f>
        <v/>
      </c>
      <c r="D582" s="10" t="str">
        <f>IF(A582="","",SUM(Lançamentos!D$9:D582))</f>
        <v/>
      </c>
      <c r="E582" s="1"/>
      <c r="F582" s="11" t="str">
        <f>IF(A582="","",SUM(Lançamentos!F$9:F582))</f>
        <v/>
      </c>
      <c r="G582" s="11" t="str">
        <f>IF(A582="","",SUM(Lançamentos!G$9:G582))</f>
        <v/>
      </c>
      <c r="H582" s="11" t="str">
        <f>IF(A582="","",SUM(Lançamentos!H$9:H582))</f>
        <v/>
      </c>
      <c r="I582" s="12" t="str">
        <f>IF(A582="","",SUM(Lançamentos!C$9:C582))</f>
        <v/>
      </c>
      <c r="J582" s="13" t="str">
        <f>IF(Lançamentos!J582="","",Lançamentos!J582)</f>
        <v/>
      </c>
    </row>
    <row r="583" spans="1:10" ht="23.1" customHeight="1">
      <c r="A583" s="1" t="str">
        <f>IF(ISNUMBER(Lançamentos!A583),Lançamentos!A583,"")</f>
        <v/>
      </c>
      <c r="B583" s="1" t="str">
        <f>IF(Lançamentos!B583="","",Lançamentos!B583)</f>
        <v/>
      </c>
      <c r="C583" s="12" t="str">
        <f>IF(ISNUMBER(Lançamentos!C583),Lançamentos!C583,"")</f>
        <v/>
      </c>
      <c r="D583" s="10" t="str">
        <f>IF(A583="","",SUM(Lançamentos!D$9:D583))</f>
        <v/>
      </c>
      <c r="E583" s="1"/>
      <c r="F583" s="11" t="str">
        <f>IF(A583="","",SUM(Lançamentos!F$9:F583))</f>
        <v/>
      </c>
      <c r="G583" s="11" t="str">
        <f>IF(A583="","",SUM(Lançamentos!G$9:G583))</f>
        <v/>
      </c>
      <c r="H583" s="11" t="str">
        <f>IF(A583="","",SUM(Lançamentos!H$9:H583))</f>
        <v/>
      </c>
      <c r="I583" s="12" t="str">
        <f>IF(A583="","",SUM(Lançamentos!C$9:C583))</f>
        <v/>
      </c>
      <c r="J583" s="13" t="str">
        <f>IF(Lançamentos!J583="","",Lançamentos!J583)</f>
        <v/>
      </c>
    </row>
    <row r="584" spans="1:10" ht="23.1" customHeight="1">
      <c r="A584" s="1" t="str">
        <f>IF(ISNUMBER(Lançamentos!A584),Lançamentos!A584,"")</f>
        <v/>
      </c>
      <c r="B584" s="1" t="str">
        <f>IF(Lançamentos!B584="","",Lançamentos!B584)</f>
        <v/>
      </c>
      <c r="C584" s="12" t="str">
        <f>IF(ISNUMBER(Lançamentos!C584),Lançamentos!C584,"")</f>
        <v/>
      </c>
      <c r="D584" s="10" t="str">
        <f>IF(A584="","",SUM(Lançamentos!D$9:D584))</f>
        <v/>
      </c>
      <c r="E584" s="1"/>
      <c r="F584" s="11" t="str">
        <f>IF(A584="","",SUM(Lançamentos!F$9:F584))</f>
        <v/>
      </c>
      <c r="G584" s="11" t="str">
        <f>IF(A584="","",SUM(Lançamentos!G$9:G584))</f>
        <v/>
      </c>
      <c r="H584" s="11" t="str">
        <f>IF(A584="","",SUM(Lançamentos!H$9:H584))</f>
        <v/>
      </c>
      <c r="I584" s="12" t="str">
        <f>IF(A584="","",SUM(Lançamentos!C$9:C584))</f>
        <v/>
      </c>
      <c r="J584" s="13" t="str">
        <f>IF(Lançamentos!J584="","",Lançamentos!J584)</f>
        <v/>
      </c>
    </row>
    <row r="585" spans="1:10" ht="23.1" customHeight="1">
      <c r="A585" s="1" t="str">
        <f>IF(ISNUMBER(Lançamentos!A585),Lançamentos!A585,"")</f>
        <v/>
      </c>
      <c r="B585" s="1" t="str">
        <f>IF(Lançamentos!B585="","",Lançamentos!B585)</f>
        <v/>
      </c>
      <c r="C585" s="12" t="str">
        <f>IF(ISNUMBER(Lançamentos!C585),Lançamentos!C585,"")</f>
        <v/>
      </c>
      <c r="D585" s="10" t="str">
        <f>IF(A585="","",SUM(Lançamentos!D$9:D585))</f>
        <v/>
      </c>
      <c r="E585" s="1"/>
      <c r="F585" s="11" t="str">
        <f>IF(A585="","",SUM(Lançamentos!F$9:F585))</f>
        <v/>
      </c>
      <c r="G585" s="11" t="str">
        <f>IF(A585="","",SUM(Lançamentos!G$9:G585))</f>
        <v/>
      </c>
      <c r="H585" s="11" t="str">
        <f>IF(A585="","",SUM(Lançamentos!H$9:H585))</f>
        <v/>
      </c>
      <c r="I585" s="12" t="str">
        <f>IF(A585="","",SUM(Lançamentos!C$9:C585))</f>
        <v/>
      </c>
      <c r="J585" s="13" t="str">
        <f>IF(Lançamentos!J585="","",Lançamentos!J585)</f>
        <v/>
      </c>
    </row>
    <row r="586" spans="1:10" ht="23.1" customHeight="1">
      <c r="A586" s="1" t="str">
        <f>IF(ISNUMBER(Lançamentos!A586),Lançamentos!A586,"")</f>
        <v/>
      </c>
      <c r="B586" s="1" t="str">
        <f>IF(Lançamentos!B586="","",Lançamentos!B586)</f>
        <v/>
      </c>
      <c r="C586" s="12" t="str">
        <f>IF(ISNUMBER(Lançamentos!C586),Lançamentos!C586,"")</f>
        <v/>
      </c>
      <c r="D586" s="10" t="str">
        <f>IF(A586="","",SUM(Lançamentos!D$9:D586))</f>
        <v/>
      </c>
      <c r="E586" s="1"/>
      <c r="F586" s="11" t="str">
        <f>IF(A586="","",SUM(Lançamentos!F$9:F586))</f>
        <v/>
      </c>
      <c r="G586" s="11" t="str">
        <f>IF(A586="","",SUM(Lançamentos!G$9:G586))</f>
        <v/>
      </c>
      <c r="H586" s="11" t="str">
        <f>IF(A586="","",SUM(Lançamentos!H$9:H586))</f>
        <v/>
      </c>
      <c r="I586" s="12" t="str">
        <f>IF(A586="","",SUM(Lançamentos!C$9:C586))</f>
        <v/>
      </c>
      <c r="J586" s="13" t="str">
        <f>IF(Lançamentos!J586="","",Lançamentos!J586)</f>
        <v/>
      </c>
    </row>
    <row r="587" spans="1:10" ht="23.1" customHeight="1">
      <c r="A587" s="1" t="str">
        <f>IF(ISNUMBER(Lançamentos!A587),Lançamentos!A587,"")</f>
        <v/>
      </c>
      <c r="B587" s="1" t="str">
        <f>IF(Lançamentos!B587="","",Lançamentos!B587)</f>
        <v/>
      </c>
      <c r="C587" s="12" t="str">
        <f>IF(ISNUMBER(Lançamentos!C587),Lançamentos!C587,"")</f>
        <v/>
      </c>
      <c r="D587" s="10" t="str">
        <f>IF(A587="","",SUM(Lançamentos!D$9:D587))</f>
        <v/>
      </c>
      <c r="E587" s="1"/>
      <c r="F587" s="11" t="str">
        <f>IF(A587="","",SUM(Lançamentos!F$9:F587))</f>
        <v/>
      </c>
      <c r="G587" s="11" t="str">
        <f>IF(A587="","",SUM(Lançamentos!G$9:G587))</f>
        <v/>
      </c>
      <c r="H587" s="11" t="str">
        <f>IF(A587="","",SUM(Lançamentos!H$9:H587))</f>
        <v/>
      </c>
      <c r="I587" s="12" t="str">
        <f>IF(A587="","",SUM(Lançamentos!C$9:C587))</f>
        <v/>
      </c>
      <c r="J587" s="13" t="str">
        <f>IF(Lançamentos!J587="","",Lançamentos!J587)</f>
        <v/>
      </c>
    </row>
    <row r="588" spans="1:10" ht="23.1" customHeight="1">
      <c r="A588" s="1" t="str">
        <f>IF(ISNUMBER(Lançamentos!A588),Lançamentos!A588,"")</f>
        <v/>
      </c>
      <c r="B588" s="1" t="str">
        <f>IF(Lançamentos!B588="","",Lançamentos!B588)</f>
        <v/>
      </c>
      <c r="C588" s="12" t="str">
        <f>IF(ISNUMBER(Lançamentos!C588),Lançamentos!C588,"")</f>
        <v/>
      </c>
      <c r="D588" s="10" t="str">
        <f>IF(A588="","",SUM(Lançamentos!D$9:D588))</f>
        <v/>
      </c>
      <c r="E588" s="1"/>
      <c r="F588" s="11" t="str">
        <f>IF(A588="","",SUM(Lançamentos!F$9:F588))</f>
        <v/>
      </c>
      <c r="G588" s="11" t="str">
        <f>IF(A588="","",SUM(Lançamentos!G$9:G588))</f>
        <v/>
      </c>
      <c r="H588" s="11" t="str">
        <f>IF(A588="","",SUM(Lançamentos!H$9:H588))</f>
        <v/>
      </c>
      <c r="I588" s="12" t="str">
        <f>IF(A588="","",SUM(Lançamentos!C$9:C588))</f>
        <v/>
      </c>
      <c r="J588" s="13" t="str">
        <f>IF(Lançamentos!J588="","",Lançamentos!J588)</f>
        <v/>
      </c>
    </row>
    <row r="589" spans="1:10" ht="23.1" customHeight="1">
      <c r="A589" s="1" t="str">
        <f>IF(ISNUMBER(Lançamentos!A589),Lançamentos!A589,"")</f>
        <v/>
      </c>
      <c r="B589" s="1" t="str">
        <f>IF(Lançamentos!B589="","",Lançamentos!B589)</f>
        <v/>
      </c>
      <c r="C589" s="12" t="str">
        <f>IF(ISNUMBER(Lançamentos!C589),Lançamentos!C589,"")</f>
        <v/>
      </c>
      <c r="D589" s="10" t="str">
        <f>IF(A589="","",SUM(Lançamentos!D$9:D589))</f>
        <v/>
      </c>
      <c r="E589" s="1"/>
      <c r="F589" s="11" t="str">
        <f>IF(A589="","",SUM(Lançamentos!F$9:F589))</f>
        <v/>
      </c>
      <c r="G589" s="11" t="str">
        <f>IF(A589="","",SUM(Lançamentos!G$9:G589))</f>
        <v/>
      </c>
      <c r="H589" s="11" t="str">
        <f>IF(A589="","",SUM(Lançamentos!H$9:H589))</f>
        <v/>
      </c>
      <c r="I589" s="12" t="str">
        <f>IF(A589="","",SUM(Lançamentos!C$9:C589))</f>
        <v/>
      </c>
      <c r="J589" s="13" t="str">
        <f>IF(Lançamentos!J589="","",Lançamentos!J589)</f>
        <v/>
      </c>
    </row>
    <row r="590" spans="1:10" ht="23.1" customHeight="1">
      <c r="A590" s="1" t="str">
        <f>IF(ISNUMBER(Lançamentos!A590),Lançamentos!A590,"")</f>
        <v/>
      </c>
      <c r="B590" s="1" t="str">
        <f>IF(Lançamentos!B590="","",Lançamentos!B590)</f>
        <v/>
      </c>
      <c r="C590" s="12" t="str">
        <f>IF(ISNUMBER(Lançamentos!C590),Lançamentos!C590,"")</f>
        <v/>
      </c>
      <c r="D590" s="10" t="str">
        <f>IF(A590="","",SUM(Lançamentos!D$9:D590))</f>
        <v/>
      </c>
      <c r="E590" s="1"/>
      <c r="F590" s="11" t="str">
        <f>IF(A590="","",SUM(Lançamentos!F$9:F590))</f>
        <v/>
      </c>
      <c r="G590" s="11" t="str">
        <f>IF(A590="","",SUM(Lançamentos!G$9:G590))</f>
        <v/>
      </c>
      <c r="H590" s="11" t="str">
        <f>IF(A590="","",SUM(Lançamentos!H$9:H590))</f>
        <v/>
      </c>
      <c r="I590" s="12" t="str">
        <f>IF(A590="","",SUM(Lançamentos!C$9:C590))</f>
        <v/>
      </c>
      <c r="J590" s="13" t="str">
        <f>IF(Lançamentos!J590="","",Lançamentos!J590)</f>
        <v/>
      </c>
    </row>
    <row r="591" spans="1:10" ht="23.1" customHeight="1">
      <c r="A591" s="1" t="str">
        <f>IF(ISNUMBER(Lançamentos!A591),Lançamentos!A591,"")</f>
        <v/>
      </c>
      <c r="B591" s="1" t="str">
        <f>IF(Lançamentos!B591="","",Lançamentos!B591)</f>
        <v/>
      </c>
      <c r="C591" s="12" t="str">
        <f>IF(ISNUMBER(Lançamentos!C591),Lançamentos!C591,"")</f>
        <v/>
      </c>
      <c r="D591" s="10" t="str">
        <f>IF(A591="","",SUM(Lançamentos!D$9:D591))</f>
        <v/>
      </c>
      <c r="E591" s="1"/>
      <c r="F591" s="11" t="str">
        <f>IF(A591="","",SUM(Lançamentos!F$9:F591))</f>
        <v/>
      </c>
      <c r="G591" s="11" t="str">
        <f>IF(A591="","",SUM(Lançamentos!G$9:G591))</f>
        <v/>
      </c>
      <c r="H591" s="11" t="str">
        <f>IF(A591="","",SUM(Lançamentos!H$9:H591))</f>
        <v/>
      </c>
      <c r="I591" s="12" t="str">
        <f>IF(A591="","",SUM(Lançamentos!C$9:C591))</f>
        <v/>
      </c>
      <c r="J591" s="13" t="str">
        <f>IF(Lançamentos!J591="","",Lançamentos!J591)</f>
        <v/>
      </c>
    </row>
    <row r="592" spans="1:10" ht="23.1" customHeight="1">
      <c r="A592" s="1" t="str">
        <f>IF(ISNUMBER(Lançamentos!A592),Lançamentos!A592,"")</f>
        <v/>
      </c>
      <c r="B592" s="1" t="str">
        <f>IF(Lançamentos!B592="","",Lançamentos!B592)</f>
        <v/>
      </c>
      <c r="C592" s="12" t="str">
        <f>IF(ISNUMBER(Lançamentos!C592),Lançamentos!C592,"")</f>
        <v/>
      </c>
      <c r="D592" s="10" t="str">
        <f>IF(A592="","",SUM(Lançamentos!D$9:D592))</f>
        <v/>
      </c>
      <c r="E592" s="1"/>
      <c r="F592" s="11" t="str">
        <f>IF(A592="","",SUM(Lançamentos!F$9:F592))</f>
        <v/>
      </c>
      <c r="G592" s="11" t="str">
        <f>IF(A592="","",SUM(Lançamentos!G$9:G592))</f>
        <v/>
      </c>
      <c r="H592" s="11" t="str">
        <f>IF(A592="","",SUM(Lançamentos!H$9:H592))</f>
        <v/>
      </c>
      <c r="I592" s="12" t="str">
        <f>IF(A592="","",SUM(Lançamentos!C$9:C592))</f>
        <v/>
      </c>
      <c r="J592" s="13" t="str">
        <f>IF(Lançamentos!J592="","",Lançamentos!J592)</f>
        <v/>
      </c>
    </row>
    <row r="593" spans="1:10" ht="23.1" customHeight="1">
      <c r="A593" s="1" t="str">
        <f>IF(ISNUMBER(Lançamentos!A593),Lançamentos!A593,"")</f>
        <v/>
      </c>
      <c r="B593" s="1" t="str">
        <f>IF(Lançamentos!B593="","",Lançamentos!B593)</f>
        <v/>
      </c>
      <c r="C593" s="12" t="str">
        <f>IF(ISNUMBER(Lançamentos!C593),Lançamentos!C593,"")</f>
        <v/>
      </c>
      <c r="D593" s="10" t="str">
        <f>IF(A593="","",SUM(Lançamentos!D$9:D593))</f>
        <v/>
      </c>
      <c r="E593" s="1"/>
      <c r="F593" s="11" t="str">
        <f>IF(A593="","",SUM(Lançamentos!F$9:F593))</f>
        <v/>
      </c>
      <c r="G593" s="11" t="str">
        <f>IF(A593="","",SUM(Lançamentos!G$9:G593))</f>
        <v/>
      </c>
      <c r="H593" s="11" t="str">
        <f>IF(A593="","",SUM(Lançamentos!H$9:H593))</f>
        <v/>
      </c>
      <c r="I593" s="12" t="str">
        <f>IF(A593="","",SUM(Lançamentos!C$9:C593))</f>
        <v/>
      </c>
      <c r="J593" s="13" t="str">
        <f>IF(Lançamentos!J593="","",Lançamentos!J593)</f>
        <v/>
      </c>
    </row>
    <row r="594" spans="1:10" ht="23.1" customHeight="1">
      <c r="A594" s="1" t="str">
        <f>IF(ISNUMBER(Lançamentos!A594),Lançamentos!A594,"")</f>
        <v/>
      </c>
      <c r="B594" s="1" t="str">
        <f>IF(Lançamentos!B594="","",Lançamentos!B594)</f>
        <v/>
      </c>
      <c r="C594" s="12" t="str">
        <f>IF(ISNUMBER(Lançamentos!C594),Lançamentos!C594,"")</f>
        <v/>
      </c>
      <c r="D594" s="10" t="str">
        <f>IF(A594="","",SUM(Lançamentos!D$9:D594))</f>
        <v/>
      </c>
      <c r="E594" s="1"/>
      <c r="F594" s="11" t="str">
        <f>IF(A594="","",SUM(Lançamentos!F$9:F594))</f>
        <v/>
      </c>
      <c r="G594" s="11" t="str">
        <f>IF(A594="","",SUM(Lançamentos!G$9:G594))</f>
        <v/>
      </c>
      <c r="H594" s="11" t="str">
        <f>IF(A594="","",SUM(Lançamentos!H$9:H594))</f>
        <v/>
      </c>
      <c r="I594" s="12" t="str">
        <f>IF(A594="","",SUM(Lançamentos!C$9:C594))</f>
        <v/>
      </c>
      <c r="J594" s="13" t="str">
        <f>IF(Lançamentos!J594="","",Lançamentos!J594)</f>
        <v/>
      </c>
    </row>
    <row r="595" spans="1:10" ht="23.1" customHeight="1">
      <c r="A595" s="1" t="str">
        <f>IF(ISNUMBER(Lançamentos!A595),Lançamentos!A595,"")</f>
        <v/>
      </c>
      <c r="B595" s="1" t="str">
        <f>IF(Lançamentos!B595="","",Lançamentos!B595)</f>
        <v/>
      </c>
      <c r="C595" s="12" t="str">
        <f>IF(ISNUMBER(Lançamentos!C595),Lançamentos!C595,"")</f>
        <v/>
      </c>
      <c r="D595" s="10" t="str">
        <f>IF(A595="","",SUM(Lançamentos!D$9:D595))</f>
        <v/>
      </c>
      <c r="E595" s="1"/>
      <c r="F595" s="11" t="str">
        <f>IF(A595="","",SUM(Lançamentos!F$9:F595))</f>
        <v/>
      </c>
      <c r="G595" s="11" t="str">
        <f>IF(A595="","",SUM(Lançamentos!G$9:G595))</f>
        <v/>
      </c>
      <c r="H595" s="11" t="str">
        <f>IF(A595="","",SUM(Lançamentos!H$9:H595))</f>
        <v/>
      </c>
      <c r="I595" s="12" t="str">
        <f>IF(A595="","",SUM(Lançamentos!C$9:C595))</f>
        <v/>
      </c>
      <c r="J595" s="13" t="str">
        <f>IF(Lançamentos!J595="","",Lançamentos!J595)</f>
        <v/>
      </c>
    </row>
    <row r="596" spans="1:10" ht="23.1" customHeight="1">
      <c r="A596" s="1" t="str">
        <f>IF(ISNUMBER(Lançamentos!A596),Lançamentos!A596,"")</f>
        <v/>
      </c>
      <c r="B596" s="1" t="str">
        <f>IF(Lançamentos!B596="","",Lançamentos!B596)</f>
        <v/>
      </c>
      <c r="C596" s="12" t="str">
        <f>IF(ISNUMBER(Lançamentos!C596),Lançamentos!C596,"")</f>
        <v/>
      </c>
      <c r="D596" s="10" t="str">
        <f>IF(A596="","",SUM(Lançamentos!D$9:D596))</f>
        <v/>
      </c>
      <c r="E596" s="1"/>
      <c r="F596" s="11" t="str">
        <f>IF(A596="","",SUM(Lançamentos!F$9:F596))</f>
        <v/>
      </c>
      <c r="G596" s="11" t="str">
        <f>IF(A596="","",SUM(Lançamentos!G$9:G596))</f>
        <v/>
      </c>
      <c r="H596" s="11" t="str">
        <f>IF(A596="","",SUM(Lançamentos!H$9:H596))</f>
        <v/>
      </c>
      <c r="I596" s="12" t="str">
        <f>IF(A596="","",SUM(Lançamentos!C$9:C596))</f>
        <v/>
      </c>
      <c r="J596" s="13" t="str">
        <f>IF(Lançamentos!J596="","",Lançamentos!J596)</f>
        <v/>
      </c>
    </row>
    <row r="597" spans="1:10" ht="23.1" customHeight="1">
      <c r="A597" s="1" t="str">
        <f>IF(ISNUMBER(Lançamentos!A597),Lançamentos!A597,"")</f>
        <v/>
      </c>
      <c r="B597" s="1" t="str">
        <f>IF(Lançamentos!B597="","",Lançamentos!B597)</f>
        <v/>
      </c>
      <c r="C597" s="12" t="str">
        <f>IF(ISNUMBER(Lançamentos!C597),Lançamentos!C597,"")</f>
        <v/>
      </c>
      <c r="D597" s="10" t="str">
        <f>IF(A597="","",SUM(Lançamentos!D$9:D597))</f>
        <v/>
      </c>
      <c r="E597" s="1"/>
      <c r="F597" s="11" t="str">
        <f>IF(A597="","",SUM(Lançamentos!F$9:F597))</f>
        <v/>
      </c>
      <c r="G597" s="11" t="str">
        <f>IF(A597="","",SUM(Lançamentos!G$9:G597))</f>
        <v/>
      </c>
      <c r="H597" s="11" t="str">
        <f>IF(A597="","",SUM(Lançamentos!H$9:H597))</f>
        <v/>
      </c>
      <c r="I597" s="12" t="str">
        <f>IF(A597="","",SUM(Lançamentos!C$9:C597))</f>
        <v/>
      </c>
      <c r="J597" s="13" t="str">
        <f>IF(Lançamentos!J597="","",Lançamentos!J597)</f>
        <v/>
      </c>
    </row>
    <row r="598" spans="1:10" ht="23.1" customHeight="1">
      <c r="A598" s="1" t="str">
        <f>IF(ISNUMBER(Lançamentos!A598),Lançamentos!A598,"")</f>
        <v/>
      </c>
      <c r="B598" s="1" t="str">
        <f>IF(Lançamentos!B598="","",Lançamentos!B598)</f>
        <v/>
      </c>
      <c r="C598" s="12" t="str">
        <f>IF(ISNUMBER(Lançamentos!C598),Lançamentos!C598,"")</f>
        <v/>
      </c>
      <c r="D598" s="10" t="str">
        <f>IF(A598="","",SUM(Lançamentos!D$9:D598))</f>
        <v/>
      </c>
      <c r="E598" s="1"/>
      <c r="F598" s="11" t="str">
        <f>IF(A598="","",SUM(Lançamentos!F$9:F598))</f>
        <v/>
      </c>
      <c r="G598" s="11" t="str">
        <f>IF(A598="","",SUM(Lançamentos!G$9:G598))</f>
        <v/>
      </c>
      <c r="H598" s="11" t="str">
        <f>IF(A598="","",SUM(Lançamentos!H$9:H598))</f>
        <v/>
      </c>
      <c r="I598" s="12" t="str">
        <f>IF(A598="","",SUM(Lançamentos!C$9:C598))</f>
        <v/>
      </c>
      <c r="J598" s="13" t="str">
        <f>IF(Lançamentos!J598="","",Lançamentos!J598)</f>
        <v/>
      </c>
    </row>
    <row r="599" spans="1:10" ht="23.1" customHeight="1">
      <c r="A599" s="1" t="str">
        <f>IF(ISNUMBER(Lançamentos!A599),Lançamentos!A599,"")</f>
        <v/>
      </c>
      <c r="B599" s="1" t="str">
        <f>IF(Lançamentos!B599="","",Lançamentos!B599)</f>
        <v/>
      </c>
      <c r="C599" s="12" t="str">
        <f>IF(ISNUMBER(Lançamentos!C599),Lançamentos!C599,"")</f>
        <v/>
      </c>
      <c r="D599" s="10" t="str">
        <f>IF(A599="","",SUM(Lançamentos!D$9:D599))</f>
        <v/>
      </c>
      <c r="E599" s="1"/>
      <c r="F599" s="11" t="str">
        <f>IF(A599="","",SUM(Lançamentos!F$9:F599))</f>
        <v/>
      </c>
      <c r="G599" s="11" t="str">
        <f>IF(A599="","",SUM(Lançamentos!G$9:G599))</f>
        <v/>
      </c>
      <c r="H599" s="11" t="str">
        <f>IF(A599="","",SUM(Lançamentos!H$9:H599))</f>
        <v/>
      </c>
      <c r="I599" s="12" t="str">
        <f>IF(A599="","",SUM(Lançamentos!C$9:C599))</f>
        <v/>
      </c>
      <c r="J599" s="13" t="str">
        <f>IF(Lançamentos!J599="","",Lançamentos!J599)</f>
        <v/>
      </c>
    </row>
    <row r="600" spans="1:10" ht="23.1" customHeight="1">
      <c r="A600" s="1" t="str">
        <f>IF(ISNUMBER(Lançamentos!A600),Lançamentos!A600,"")</f>
        <v/>
      </c>
      <c r="B600" s="1" t="str">
        <f>IF(Lançamentos!B600="","",Lançamentos!B600)</f>
        <v/>
      </c>
      <c r="C600" s="12" t="str">
        <f>IF(ISNUMBER(Lançamentos!C600),Lançamentos!C600,"")</f>
        <v/>
      </c>
      <c r="D600" s="10" t="str">
        <f>IF(A600="","",SUM(Lançamentos!D$9:D600))</f>
        <v/>
      </c>
      <c r="E600" s="1"/>
      <c r="F600" s="11" t="str">
        <f>IF(A600="","",SUM(Lançamentos!F$9:F600))</f>
        <v/>
      </c>
      <c r="G600" s="11" t="str">
        <f>IF(A600="","",SUM(Lançamentos!G$9:G600))</f>
        <v/>
      </c>
      <c r="H600" s="11" t="str">
        <f>IF(A600="","",SUM(Lançamentos!H$9:H600))</f>
        <v/>
      </c>
      <c r="I600" s="12" t="str">
        <f>IF(A600="","",SUM(Lançamentos!C$9:C600))</f>
        <v/>
      </c>
      <c r="J600" s="13" t="str">
        <f>IF(Lançamentos!J600="","",Lançamentos!J600)</f>
        <v/>
      </c>
    </row>
    <row r="601" spans="1:10" ht="23.1" customHeight="1">
      <c r="A601" s="1" t="str">
        <f>IF(ISNUMBER(Lançamentos!A601),Lançamentos!A601,"")</f>
        <v/>
      </c>
      <c r="B601" s="1" t="str">
        <f>IF(Lançamentos!B601="","",Lançamentos!B601)</f>
        <v/>
      </c>
      <c r="C601" s="12" t="str">
        <f>IF(ISNUMBER(Lançamentos!C601),Lançamentos!C601,"")</f>
        <v/>
      </c>
      <c r="D601" s="10" t="str">
        <f>IF(A601="","",SUM(Lançamentos!D$9:D601))</f>
        <v/>
      </c>
      <c r="E601" s="1"/>
      <c r="F601" s="11" t="str">
        <f>IF(A601="","",SUM(Lançamentos!F$9:F601))</f>
        <v/>
      </c>
      <c r="G601" s="11" t="str">
        <f>IF(A601="","",SUM(Lançamentos!G$9:G601))</f>
        <v/>
      </c>
      <c r="H601" s="11" t="str">
        <f>IF(A601="","",SUM(Lançamentos!H$9:H601))</f>
        <v/>
      </c>
      <c r="I601" s="12" t="str">
        <f>IF(A601="","",SUM(Lançamentos!C$9:C601))</f>
        <v/>
      </c>
      <c r="J601" s="13" t="str">
        <f>IF(Lançamentos!J601="","",Lançamentos!J601)</f>
        <v/>
      </c>
    </row>
    <row r="602" spans="1:10" ht="23.1" customHeight="1">
      <c r="A602" s="1" t="str">
        <f>IF(ISNUMBER(Lançamentos!A602),Lançamentos!A602,"")</f>
        <v/>
      </c>
      <c r="B602" s="1" t="str">
        <f>IF(Lançamentos!B602="","",Lançamentos!B602)</f>
        <v/>
      </c>
      <c r="C602" s="12" t="str">
        <f>IF(ISNUMBER(Lançamentos!C602),Lançamentos!C602,"")</f>
        <v/>
      </c>
      <c r="D602" s="10" t="str">
        <f>IF(A602="","",SUM(Lançamentos!D$9:D602))</f>
        <v/>
      </c>
      <c r="E602" s="1"/>
      <c r="F602" s="11" t="str">
        <f>IF(A602="","",SUM(Lançamentos!F$9:F602))</f>
        <v/>
      </c>
      <c r="G602" s="11" t="str">
        <f>IF(A602="","",SUM(Lançamentos!G$9:G602))</f>
        <v/>
      </c>
      <c r="H602" s="11" t="str">
        <f>IF(A602="","",SUM(Lançamentos!H$9:H602))</f>
        <v/>
      </c>
      <c r="I602" s="12" t="str">
        <f>IF(A602="","",SUM(Lançamentos!C$9:C602))</f>
        <v/>
      </c>
      <c r="J602" s="13" t="str">
        <f>IF(Lançamentos!J602="","",Lançamentos!J602)</f>
        <v/>
      </c>
    </row>
    <row r="603" spans="1:10" ht="23.1" customHeight="1">
      <c r="A603" s="1" t="str">
        <f>IF(ISNUMBER(Lançamentos!A603),Lançamentos!A603,"")</f>
        <v/>
      </c>
      <c r="B603" s="1" t="str">
        <f>IF(Lançamentos!B603="","",Lançamentos!B603)</f>
        <v/>
      </c>
      <c r="C603" s="12" t="str">
        <f>IF(ISNUMBER(Lançamentos!C603),Lançamentos!C603,"")</f>
        <v/>
      </c>
      <c r="D603" s="10" t="str">
        <f>IF(A603="","",SUM(Lançamentos!D$9:D603))</f>
        <v/>
      </c>
      <c r="E603" s="1"/>
      <c r="F603" s="11" t="str">
        <f>IF(A603="","",SUM(Lançamentos!F$9:F603))</f>
        <v/>
      </c>
      <c r="G603" s="11" t="str">
        <f>IF(A603="","",SUM(Lançamentos!G$9:G603))</f>
        <v/>
      </c>
      <c r="H603" s="11" t="str">
        <f>IF(A603="","",SUM(Lançamentos!H$9:H603))</f>
        <v/>
      </c>
      <c r="I603" s="12" t="str">
        <f>IF(A603="","",SUM(Lançamentos!C$9:C603))</f>
        <v/>
      </c>
      <c r="J603" s="13" t="str">
        <f>IF(Lançamentos!J603="","",Lançamentos!J603)</f>
        <v/>
      </c>
    </row>
    <row r="604" spans="1:10" ht="23.1" customHeight="1">
      <c r="A604" s="1" t="str">
        <f>IF(ISNUMBER(Lançamentos!A604),Lançamentos!A604,"")</f>
        <v/>
      </c>
      <c r="B604" s="1" t="str">
        <f>IF(Lançamentos!B604="","",Lançamentos!B604)</f>
        <v/>
      </c>
      <c r="C604" s="12" t="str">
        <f>IF(ISNUMBER(Lançamentos!C604),Lançamentos!C604,"")</f>
        <v/>
      </c>
      <c r="D604" s="10" t="str">
        <f>IF(A604="","",SUM(Lançamentos!D$9:D604))</f>
        <v/>
      </c>
      <c r="E604" s="1"/>
      <c r="F604" s="11" t="str">
        <f>IF(A604="","",SUM(Lançamentos!F$9:F604))</f>
        <v/>
      </c>
      <c r="G604" s="11" t="str">
        <f>IF(A604="","",SUM(Lançamentos!G$9:G604))</f>
        <v/>
      </c>
      <c r="H604" s="11" t="str">
        <f>IF(A604="","",SUM(Lançamentos!H$9:H604))</f>
        <v/>
      </c>
      <c r="I604" s="12" t="str">
        <f>IF(A604="","",SUM(Lançamentos!C$9:C604))</f>
        <v/>
      </c>
      <c r="J604" s="13" t="str">
        <f>IF(Lançamentos!J604="","",Lançamentos!J604)</f>
        <v/>
      </c>
    </row>
    <row r="605" spans="1:10" ht="23.1" customHeight="1">
      <c r="A605" s="1" t="str">
        <f>IF(ISNUMBER(Lançamentos!A605),Lançamentos!A605,"")</f>
        <v/>
      </c>
      <c r="B605" s="1" t="str">
        <f>IF(Lançamentos!B605="","",Lançamentos!B605)</f>
        <v/>
      </c>
      <c r="C605" s="12" t="str">
        <f>IF(ISNUMBER(Lançamentos!C605),Lançamentos!C605,"")</f>
        <v/>
      </c>
      <c r="D605" s="10" t="str">
        <f>IF(A605="","",SUM(Lançamentos!D$9:D605))</f>
        <v/>
      </c>
      <c r="E605" s="1"/>
      <c r="F605" s="11" t="str">
        <f>IF(A605="","",SUM(Lançamentos!F$9:F605))</f>
        <v/>
      </c>
      <c r="G605" s="11" t="str">
        <f>IF(A605="","",SUM(Lançamentos!G$9:G605))</f>
        <v/>
      </c>
      <c r="H605" s="11" t="str">
        <f>IF(A605="","",SUM(Lançamentos!H$9:H605))</f>
        <v/>
      </c>
      <c r="I605" s="12" t="str">
        <f>IF(A605="","",SUM(Lançamentos!C$9:C605))</f>
        <v/>
      </c>
      <c r="J605" s="13" t="str">
        <f>IF(Lançamentos!J605="","",Lançamentos!J605)</f>
        <v/>
      </c>
    </row>
    <row r="606" spans="1:10" ht="23.1" customHeight="1">
      <c r="A606" s="1" t="str">
        <f>IF(ISNUMBER(Lançamentos!A606),Lançamentos!A606,"")</f>
        <v/>
      </c>
      <c r="B606" s="1" t="str">
        <f>IF(Lançamentos!B606="","",Lançamentos!B606)</f>
        <v/>
      </c>
      <c r="C606" s="12" t="str">
        <f>IF(ISNUMBER(Lançamentos!C606),Lançamentos!C606,"")</f>
        <v/>
      </c>
      <c r="D606" s="10" t="str">
        <f>IF(A606="","",SUM(Lançamentos!D$9:D606))</f>
        <v/>
      </c>
      <c r="E606" s="1"/>
      <c r="F606" s="11" t="str">
        <f>IF(A606="","",SUM(Lançamentos!F$9:F606))</f>
        <v/>
      </c>
      <c r="G606" s="11" t="str">
        <f>IF(A606="","",SUM(Lançamentos!G$9:G606))</f>
        <v/>
      </c>
      <c r="H606" s="11" t="str">
        <f>IF(A606="","",SUM(Lançamentos!H$9:H606))</f>
        <v/>
      </c>
      <c r="I606" s="12" t="str">
        <f>IF(A606="","",SUM(Lançamentos!C$9:C606))</f>
        <v/>
      </c>
      <c r="J606" s="13" t="str">
        <f>IF(Lançamentos!J606="","",Lançamentos!J606)</f>
        <v/>
      </c>
    </row>
    <row r="607" spans="1:10" ht="23.1" customHeight="1">
      <c r="A607" s="1" t="str">
        <f>IF(ISNUMBER(Lançamentos!A607),Lançamentos!A607,"")</f>
        <v/>
      </c>
      <c r="B607" s="1" t="str">
        <f>IF(Lançamentos!B607="","",Lançamentos!B607)</f>
        <v/>
      </c>
      <c r="C607" s="12" t="str">
        <f>IF(ISNUMBER(Lançamentos!C607),Lançamentos!C607,"")</f>
        <v/>
      </c>
      <c r="D607" s="10" t="str">
        <f>IF(A607="","",SUM(Lançamentos!D$9:D607))</f>
        <v/>
      </c>
      <c r="E607" s="1"/>
      <c r="F607" s="11" t="str">
        <f>IF(A607="","",SUM(Lançamentos!F$9:F607))</f>
        <v/>
      </c>
      <c r="G607" s="11" t="str">
        <f>IF(A607="","",SUM(Lançamentos!G$9:G607))</f>
        <v/>
      </c>
      <c r="H607" s="11" t="str">
        <f>IF(A607="","",SUM(Lançamentos!H$9:H607))</f>
        <v/>
      </c>
      <c r="I607" s="12" t="str">
        <f>IF(A607="","",SUM(Lançamentos!C$9:C607))</f>
        <v/>
      </c>
      <c r="J607" s="13" t="str">
        <f>IF(Lançamentos!J607="","",Lançamentos!J607)</f>
        <v/>
      </c>
    </row>
    <row r="608" spans="1:10" ht="23.1" customHeight="1">
      <c r="A608" s="1" t="str">
        <f>IF(ISNUMBER(Lançamentos!A608),Lançamentos!A608,"")</f>
        <v/>
      </c>
      <c r="B608" s="1" t="str">
        <f>IF(Lançamentos!B608="","",Lançamentos!B608)</f>
        <v/>
      </c>
      <c r="C608" s="12" t="str">
        <f>IF(ISNUMBER(Lançamentos!C608),Lançamentos!C608,"")</f>
        <v/>
      </c>
      <c r="D608" s="10" t="str">
        <f>IF(A608="","",SUM(Lançamentos!D$9:D608))</f>
        <v/>
      </c>
      <c r="E608" s="1"/>
      <c r="F608" s="11" t="str">
        <f>IF(A608="","",SUM(Lançamentos!F$9:F608))</f>
        <v/>
      </c>
      <c r="G608" s="11" t="str">
        <f>IF(A608="","",SUM(Lançamentos!G$9:G608))</f>
        <v/>
      </c>
      <c r="H608" s="11" t="str">
        <f>IF(A608="","",SUM(Lançamentos!H$9:H608))</f>
        <v/>
      </c>
      <c r="I608" s="12" t="str">
        <f>IF(A608="","",SUM(Lançamentos!C$9:C608))</f>
        <v/>
      </c>
      <c r="J608" s="13" t="str">
        <f>IF(Lançamentos!J608="","",Lançamentos!J608)</f>
        <v/>
      </c>
    </row>
    <row r="609" spans="1:10" ht="23.1" customHeight="1">
      <c r="A609" s="1" t="str">
        <f>IF(ISNUMBER(Lançamentos!A609),Lançamentos!A609,"")</f>
        <v/>
      </c>
      <c r="B609" s="1" t="str">
        <f>IF(Lançamentos!B609="","",Lançamentos!B609)</f>
        <v/>
      </c>
      <c r="C609" s="12" t="str">
        <f>IF(ISNUMBER(Lançamentos!C609),Lançamentos!C609,"")</f>
        <v/>
      </c>
      <c r="D609" s="10" t="str">
        <f>IF(A609="","",SUM(Lançamentos!D$9:D609))</f>
        <v/>
      </c>
      <c r="E609" s="1"/>
      <c r="F609" s="11" t="str">
        <f>IF(A609="","",SUM(Lançamentos!F$9:F609))</f>
        <v/>
      </c>
      <c r="G609" s="11" t="str">
        <f>IF(A609="","",SUM(Lançamentos!G$9:G609))</f>
        <v/>
      </c>
      <c r="H609" s="11" t="str">
        <f>IF(A609="","",SUM(Lançamentos!H$9:H609))</f>
        <v/>
      </c>
      <c r="I609" s="12" t="str">
        <f>IF(A609="","",SUM(Lançamentos!C$9:C609))</f>
        <v/>
      </c>
      <c r="J609" s="13" t="str">
        <f>IF(Lançamentos!J609="","",Lançamentos!J609)</f>
        <v/>
      </c>
    </row>
    <row r="610" spans="1:10" ht="23.1" customHeight="1">
      <c r="A610" s="1" t="str">
        <f>IF(ISNUMBER(Lançamentos!A610),Lançamentos!A610,"")</f>
        <v/>
      </c>
      <c r="B610" s="1" t="str">
        <f>IF(Lançamentos!B610="","",Lançamentos!B610)</f>
        <v/>
      </c>
      <c r="C610" s="12" t="str">
        <f>IF(ISNUMBER(Lançamentos!C610),Lançamentos!C610,"")</f>
        <v/>
      </c>
      <c r="D610" s="10" t="str">
        <f>IF(A610="","",SUM(Lançamentos!D$9:D610))</f>
        <v/>
      </c>
      <c r="E610" s="1"/>
      <c r="F610" s="11" t="str">
        <f>IF(A610="","",SUM(Lançamentos!F$9:F610))</f>
        <v/>
      </c>
      <c r="G610" s="11" t="str">
        <f>IF(A610="","",SUM(Lançamentos!G$9:G610))</f>
        <v/>
      </c>
      <c r="H610" s="11" t="str">
        <f>IF(A610="","",SUM(Lançamentos!H$9:H610))</f>
        <v/>
      </c>
      <c r="I610" s="12" t="str">
        <f>IF(A610="","",SUM(Lançamentos!C$9:C610))</f>
        <v/>
      </c>
      <c r="J610" s="13" t="str">
        <f>IF(Lançamentos!J610="","",Lançamentos!J610)</f>
        <v/>
      </c>
    </row>
    <row r="611" spans="1:10" ht="23.1" customHeight="1">
      <c r="A611" s="1" t="str">
        <f>IF(ISNUMBER(Lançamentos!A611),Lançamentos!A611,"")</f>
        <v/>
      </c>
      <c r="B611" s="1" t="str">
        <f>IF(Lançamentos!B611="","",Lançamentos!B611)</f>
        <v/>
      </c>
      <c r="C611" s="12" t="str">
        <f>IF(ISNUMBER(Lançamentos!C611),Lançamentos!C611,"")</f>
        <v/>
      </c>
      <c r="D611" s="10" t="str">
        <f>IF(A611="","",SUM(Lançamentos!D$9:D611))</f>
        <v/>
      </c>
      <c r="E611" s="1"/>
      <c r="F611" s="11" t="str">
        <f>IF(A611="","",SUM(Lançamentos!F$9:F611))</f>
        <v/>
      </c>
      <c r="G611" s="11" t="str">
        <f>IF(A611="","",SUM(Lançamentos!G$9:G611))</f>
        <v/>
      </c>
      <c r="H611" s="11" t="str">
        <f>IF(A611="","",SUM(Lançamentos!H$9:H611))</f>
        <v/>
      </c>
      <c r="I611" s="12" t="str">
        <f>IF(A611="","",SUM(Lançamentos!C$9:C611))</f>
        <v/>
      </c>
      <c r="J611" s="13" t="str">
        <f>IF(Lançamentos!J611="","",Lançamentos!J611)</f>
        <v/>
      </c>
    </row>
    <row r="612" spans="1:10" ht="23.1" customHeight="1">
      <c r="A612" s="1" t="str">
        <f>IF(ISNUMBER(Lançamentos!A612),Lançamentos!A612,"")</f>
        <v/>
      </c>
      <c r="B612" s="1" t="str">
        <f>IF(Lançamentos!B612="","",Lançamentos!B612)</f>
        <v/>
      </c>
      <c r="C612" s="12" t="str">
        <f>IF(ISNUMBER(Lançamentos!C612),Lançamentos!C612,"")</f>
        <v/>
      </c>
      <c r="D612" s="10" t="str">
        <f>IF(A612="","",SUM(Lançamentos!D$9:D612))</f>
        <v/>
      </c>
      <c r="E612" s="1"/>
      <c r="F612" s="11" t="str">
        <f>IF(A612="","",SUM(Lançamentos!F$9:F612))</f>
        <v/>
      </c>
      <c r="G612" s="11" t="str">
        <f>IF(A612="","",SUM(Lançamentos!G$9:G612))</f>
        <v/>
      </c>
      <c r="H612" s="11" t="str">
        <f>IF(A612="","",SUM(Lançamentos!H$9:H612))</f>
        <v/>
      </c>
      <c r="I612" s="12" t="str">
        <f>IF(A612="","",SUM(Lançamentos!C$9:C612))</f>
        <v/>
      </c>
      <c r="J612" s="13" t="str">
        <f>IF(Lançamentos!J612="","",Lançamentos!J612)</f>
        <v/>
      </c>
    </row>
    <row r="613" spans="1:10" ht="23.1" customHeight="1">
      <c r="A613" s="1" t="str">
        <f>IF(ISNUMBER(Lançamentos!A613),Lançamentos!A613,"")</f>
        <v/>
      </c>
      <c r="B613" s="1" t="str">
        <f>IF(Lançamentos!B613="","",Lançamentos!B613)</f>
        <v/>
      </c>
      <c r="C613" s="12" t="str">
        <f>IF(ISNUMBER(Lançamentos!C613),Lançamentos!C613,"")</f>
        <v/>
      </c>
      <c r="D613" s="10" t="str">
        <f>IF(A613="","",SUM(Lançamentos!D$9:D613))</f>
        <v/>
      </c>
      <c r="E613" s="1"/>
      <c r="F613" s="11" t="str">
        <f>IF(A613="","",SUM(Lançamentos!F$9:F613))</f>
        <v/>
      </c>
      <c r="G613" s="11" t="str">
        <f>IF(A613="","",SUM(Lançamentos!G$9:G613))</f>
        <v/>
      </c>
      <c r="H613" s="11" t="str">
        <f>IF(A613="","",SUM(Lançamentos!H$9:H613))</f>
        <v/>
      </c>
      <c r="I613" s="12" t="str">
        <f>IF(A613="","",SUM(Lançamentos!C$9:C613))</f>
        <v/>
      </c>
      <c r="J613" s="13" t="str">
        <f>IF(Lançamentos!J613="","",Lançamentos!J613)</f>
        <v/>
      </c>
    </row>
    <row r="614" spans="1:10" ht="23.1" customHeight="1">
      <c r="A614" s="1" t="str">
        <f>IF(ISNUMBER(Lançamentos!A614),Lançamentos!A614,"")</f>
        <v/>
      </c>
      <c r="B614" s="1" t="str">
        <f>IF(Lançamentos!B614="","",Lançamentos!B614)</f>
        <v/>
      </c>
      <c r="C614" s="12" t="str">
        <f>IF(ISNUMBER(Lançamentos!C614),Lançamentos!C614,"")</f>
        <v/>
      </c>
      <c r="D614" s="10" t="str">
        <f>IF(A614="","",SUM(Lançamentos!D$9:D614))</f>
        <v/>
      </c>
      <c r="E614" s="1"/>
      <c r="F614" s="11" t="str">
        <f>IF(A614="","",SUM(Lançamentos!F$9:F614))</f>
        <v/>
      </c>
      <c r="G614" s="11" t="str">
        <f>IF(A614="","",SUM(Lançamentos!G$9:G614))</f>
        <v/>
      </c>
      <c r="H614" s="11" t="str">
        <f>IF(A614="","",SUM(Lançamentos!H$9:H614))</f>
        <v/>
      </c>
      <c r="I614" s="12" t="str">
        <f>IF(A614="","",SUM(Lançamentos!C$9:C614))</f>
        <v/>
      </c>
      <c r="J614" s="13" t="str">
        <f>IF(Lançamentos!J614="","",Lançamentos!J614)</f>
        <v/>
      </c>
    </row>
    <row r="615" spans="1:10" ht="23.1" customHeight="1">
      <c r="A615" s="1" t="str">
        <f>IF(ISNUMBER(Lançamentos!A615),Lançamentos!A615,"")</f>
        <v/>
      </c>
      <c r="B615" s="1" t="str">
        <f>IF(Lançamentos!B615="","",Lançamentos!B615)</f>
        <v/>
      </c>
      <c r="C615" s="12" t="str">
        <f>IF(ISNUMBER(Lançamentos!C615),Lançamentos!C615,"")</f>
        <v/>
      </c>
      <c r="D615" s="10" t="str">
        <f>IF(A615="","",SUM(Lançamentos!D$9:D615))</f>
        <v/>
      </c>
      <c r="E615" s="1"/>
      <c r="F615" s="11" t="str">
        <f>IF(A615="","",SUM(Lançamentos!F$9:F615))</f>
        <v/>
      </c>
      <c r="G615" s="11" t="str">
        <f>IF(A615="","",SUM(Lançamentos!G$9:G615))</f>
        <v/>
      </c>
      <c r="H615" s="11" t="str">
        <f>IF(A615="","",SUM(Lançamentos!H$9:H615))</f>
        <v/>
      </c>
      <c r="I615" s="12" t="str">
        <f>IF(A615="","",SUM(Lançamentos!C$9:C615))</f>
        <v/>
      </c>
      <c r="J615" s="13" t="str">
        <f>IF(Lançamentos!J615="","",Lançamentos!J615)</f>
        <v/>
      </c>
    </row>
    <row r="616" spans="1:10" ht="23.1" customHeight="1">
      <c r="A616" s="1" t="str">
        <f>IF(ISNUMBER(Lançamentos!A616),Lançamentos!A616,"")</f>
        <v/>
      </c>
      <c r="B616" s="1" t="str">
        <f>IF(Lançamentos!B616="","",Lançamentos!B616)</f>
        <v/>
      </c>
      <c r="C616" s="12" t="str">
        <f>IF(ISNUMBER(Lançamentos!C616),Lançamentos!C616,"")</f>
        <v/>
      </c>
      <c r="D616" s="10" t="str">
        <f>IF(A616="","",SUM(Lançamentos!D$9:D616))</f>
        <v/>
      </c>
      <c r="E616" s="1"/>
      <c r="F616" s="11" t="str">
        <f>IF(A616="","",SUM(Lançamentos!F$9:F616))</f>
        <v/>
      </c>
      <c r="G616" s="11" t="str">
        <f>IF(A616="","",SUM(Lançamentos!G$9:G616))</f>
        <v/>
      </c>
      <c r="H616" s="11" t="str">
        <f>IF(A616="","",SUM(Lançamentos!H$9:H616))</f>
        <v/>
      </c>
      <c r="I616" s="12" t="str">
        <f>IF(A616="","",SUM(Lançamentos!C$9:C616))</f>
        <v/>
      </c>
      <c r="J616" s="13" t="str">
        <f>IF(Lançamentos!J616="","",Lançamentos!J616)</f>
        <v/>
      </c>
    </row>
    <row r="617" spans="1:10" ht="23.1" customHeight="1">
      <c r="A617" s="1" t="str">
        <f>IF(ISNUMBER(Lançamentos!A617),Lançamentos!A617,"")</f>
        <v/>
      </c>
      <c r="B617" s="1" t="str">
        <f>IF(Lançamentos!B617="","",Lançamentos!B617)</f>
        <v/>
      </c>
      <c r="C617" s="12" t="str">
        <f>IF(ISNUMBER(Lançamentos!C617),Lançamentos!C617,"")</f>
        <v/>
      </c>
      <c r="D617" s="10" t="str">
        <f>IF(A617="","",SUM(Lançamentos!D$9:D617))</f>
        <v/>
      </c>
      <c r="E617" s="1"/>
      <c r="F617" s="11" t="str">
        <f>IF(A617="","",SUM(Lançamentos!F$9:F617))</f>
        <v/>
      </c>
      <c r="G617" s="11" t="str">
        <f>IF(A617="","",SUM(Lançamentos!G$9:G617))</f>
        <v/>
      </c>
      <c r="H617" s="11" t="str">
        <f>IF(A617="","",SUM(Lançamentos!H$9:H617))</f>
        <v/>
      </c>
      <c r="I617" s="12" t="str">
        <f>IF(A617="","",SUM(Lançamentos!C$9:C617))</f>
        <v/>
      </c>
      <c r="J617" s="13" t="str">
        <f>IF(Lançamentos!J617="","",Lançamentos!J617)</f>
        <v/>
      </c>
    </row>
    <row r="618" spans="1:10" ht="23.1" customHeight="1">
      <c r="A618" s="1" t="str">
        <f>IF(ISNUMBER(Lançamentos!A618),Lançamentos!A618,"")</f>
        <v/>
      </c>
      <c r="B618" s="1" t="str">
        <f>IF(Lançamentos!B618="","",Lançamentos!B618)</f>
        <v/>
      </c>
      <c r="C618" s="12" t="str">
        <f>IF(ISNUMBER(Lançamentos!C618),Lançamentos!C618,"")</f>
        <v/>
      </c>
      <c r="D618" s="10" t="str">
        <f>IF(A618="","",SUM(Lançamentos!D$9:D618))</f>
        <v/>
      </c>
      <c r="E618" s="1"/>
      <c r="F618" s="11" t="str">
        <f>IF(A618="","",SUM(Lançamentos!F$9:F618))</f>
        <v/>
      </c>
      <c r="G618" s="11" t="str">
        <f>IF(A618="","",SUM(Lançamentos!G$9:G618))</f>
        <v/>
      </c>
      <c r="H618" s="11" t="str">
        <f>IF(A618="","",SUM(Lançamentos!H$9:H618))</f>
        <v/>
      </c>
      <c r="I618" s="12" t="str">
        <f>IF(A618="","",SUM(Lançamentos!C$9:C618))</f>
        <v/>
      </c>
      <c r="J618" s="13" t="str">
        <f>IF(Lançamentos!J618="","",Lançamentos!J618)</f>
        <v/>
      </c>
    </row>
    <row r="619" spans="1:10" ht="23.1" customHeight="1">
      <c r="A619" s="1" t="str">
        <f>IF(ISNUMBER(Lançamentos!A619),Lançamentos!A619,"")</f>
        <v/>
      </c>
      <c r="B619" s="1" t="str">
        <f>IF(Lançamentos!B619="","",Lançamentos!B619)</f>
        <v/>
      </c>
      <c r="C619" s="12" t="str">
        <f>IF(ISNUMBER(Lançamentos!C619),Lançamentos!C619,"")</f>
        <v/>
      </c>
      <c r="D619" s="10" t="str">
        <f>IF(A619="","",SUM(Lançamentos!D$9:D619))</f>
        <v/>
      </c>
      <c r="E619" s="1"/>
      <c r="F619" s="11" t="str">
        <f>IF(A619="","",SUM(Lançamentos!F$9:F619))</f>
        <v/>
      </c>
      <c r="G619" s="11" t="str">
        <f>IF(A619="","",SUM(Lançamentos!G$9:G619))</f>
        <v/>
      </c>
      <c r="H619" s="11" t="str">
        <f>IF(A619="","",SUM(Lançamentos!H$9:H619))</f>
        <v/>
      </c>
      <c r="I619" s="12" t="str">
        <f>IF(A619="","",SUM(Lançamentos!C$9:C619))</f>
        <v/>
      </c>
      <c r="J619" s="13" t="str">
        <f>IF(Lançamentos!J619="","",Lançamentos!J619)</f>
        <v/>
      </c>
    </row>
    <row r="620" spans="1:10" ht="23.1" customHeight="1">
      <c r="A620" s="1" t="str">
        <f>IF(ISNUMBER(Lançamentos!A620),Lançamentos!A620,"")</f>
        <v/>
      </c>
      <c r="B620" s="1" t="str">
        <f>IF(Lançamentos!B620="","",Lançamentos!B620)</f>
        <v/>
      </c>
      <c r="C620" s="12" t="str">
        <f>IF(ISNUMBER(Lançamentos!C620),Lançamentos!C620,"")</f>
        <v/>
      </c>
      <c r="D620" s="10" t="str">
        <f>IF(A620="","",SUM(Lançamentos!D$9:D620))</f>
        <v/>
      </c>
      <c r="E620" s="1"/>
      <c r="F620" s="11" t="str">
        <f>IF(A620="","",SUM(Lançamentos!F$9:F620))</f>
        <v/>
      </c>
      <c r="G620" s="11" t="str">
        <f>IF(A620="","",SUM(Lançamentos!G$9:G620))</f>
        <v/>
      </c>
      <c r="H620" s="11" t="str">
        <f>IF(A620="","",SUM(Lançamentos!H$9:H620))</f>
        <v/>
      </c>
      <c r="I620" s="12" t="str">
        <f>IF(A620="","",SUM(Lançamentos!C$9:C620))</f>
        <v/>
      </c>
      <c r="J620" s="13" t="str">
        <f>IF(Lançamentos!J620="","",Lançamentos!J620)</f>
        <v/>
      </c>
    </row>
    <row r="621" spans="1:10" ht="23.1" customHeight="1">
      <c r="A621" s="1" t="str">
        <f>IF(ISNUMBER(Lançamentos!A621),Lançamentos!A621,"")</f>
        <v/>
      </c>
      <c r="B621" s="1" t="str">
        <f>IF(Lançamentos!B621="","",Lançamentos!B621)</f>
        <v/>
      </c>
      <c r="C621" s="12" t="str">
        <f>IF(ISNUMBER(Lançamentos!C621),Lançamentos!C621,"")</f>
        <v/>
      </c>
      <c r="D621" s="10" t="str">
        <f>IF(A621="","",SUM(Lançamentos!D$9:D621))</f>
        <v/>
      </c>
      <c r="E621" s="1"/>
      <c r="F621" s="11" t="str">
        <f>IF(A621="","",SUM(Lançamentos!F$9:F621))</f>
        <v/>
      </c>
      <c r="G621" s="11" t="str">
        <f>IF(A621="","",SUM(Lançamentos!G$9:G621))</f>
        <v/>
      </c>
      <c r="H621" s="11" t="str">
        <f>IF(A621="","",SUM(Lançamentos!H$9:H621))</f>
        <v/>
      </c>
      <c r="I621" s="12" t="str">
        <f>IF(A621="","",SUM(Lançamentos!C$9:C621))</f>
        <v/>
      </c>
      <c r="J621" s="13" t="str">
        <f>IF(Lançamentos!J621="","",Lançamentos!J621)</f>
        <v/>
      </c>
    </row>
    <row r="622" spans="1:10" ht="23.1" customHeight="1">
      <c r="A622" s="1" t="str">
        <f>IF(ISNUMBER(Lançamentos!A622),Lançamentos!A622,"")</f>
        <v/>
      </c>
      <c r="B622" s="1" t="str">
        <f>IF(Lançamentos!B622="","",Lançamentos!B622)</f>
        <v/>
      </c>
      <c r="C622" s="12" t="str">
        <f>IF(ISNUMBER(Lançamentos!C622),Lançamentos!C622,"")</f>
        <v/>
      </c>
      <c r="D622" s="10" t="str">
        <f>IF(A622="","",SUM(Lançamentos!D$9:D622))</f>
        <v/>
      </c>
      <c r="E622" s="1"/>
      <c r="F622" s="11" t="str">
        <f>IF(A622="","",SUM(Lançamentos!F$9:F622))</f>
        <v/>
      </c>
      <c r="G622" s="11" t="str">
        <f>IF(A622="","",SUM(Lançamentos!G$9:G622))</f>
        <v/>
      </c>
      <c r="H622" s="11" t="str">
        <f>IF(A622="","",SUM(Lançamentos!H$9:H622))</f>
        <v/>
      </c>
      <c r="I622" s="12" t="str">
        <f>IF(A622="","",SUM(Lançamentos!C$9:C622))</f>
        <v/>
      </c>
      <c r="J622" s="13" t="str">
        <f>IF(Lançamentos!J622="","",Lançamentos!J622)</f>
        <v/>
      </c>
    </row>
    <row r="623" spans="1:10" ht="23.1" customHeight="1">
      <c r="A623" s="1" t="str">
        <f>IF(ISNUMBER(Lançamentos!A623),Lançamentos!A623,"")</f>
        <v/>
      </c>
      <c r="B623" s="1" t="str">
        <f>IF(Lançamentos!B623="","",Lançamentos!B623)</f>
        <v/>
      </c>
      <c r="C623" s="12" t="str">
        <f>IF(ISNUMBER(Lançamentos!C623),Lançamentos!C623,"")</f>
        <v/>
      </c>
      <c r="D623" s="10" t="str">
        <f>IF(A623="","",SUM(Lançamentos!D$9:D623))</f>
        <v/>
      </c>
      <c r="E623" s="1"/>
      <c r="F623" s="11" t="str">
        <f>IF(A623="","",SUM(Lançamentos!F$9:F623))</f>
        <v/>
      </c>
      <c r="G623" s="11" t="str">
        <f>IF(A623="","",SUM(Lançamentos!G$9:G623))</f>
        <v/>
      </c>
      <c r="H623" s="11" t="str">
        <f>IF(A623="","",SUM(Lançamentos!H$9:H623))</f>
        <v/>
      </c>
      <c r="I623" s="12" t="str">
        <f>IF(A623="","",SUM(Lançamentos!C$9:C623))</f>
        <v/>
      </c>
      <c r="J623" s="13" t="str">
        <f>IF(Lançamentos!J623="","",Lançamentos!J623)</f>
        <v/>
      </c>
    </row>
    <row r="624" spans="1:10" ht="23.1" customHeight="1">
      <c r="A624" s="1" t="str">
        <f>IF(ISNUMBER(Lançamentos!A624),Lançamentos!A624,"")</f>
        <v/>
      </c>
      <c r="B624" s="1" t="str">
        <f>IF(Lançamentos!B624="","",Lançamentos!B624)</f>
        <v/>
      </c>
      <c r="C624" s="12" t="str">
        <f>IF(ISNUMBER(Lançamentos!C624),Lançamentos!C624,"")</f>
        <v/>
      </c>
      <c r="D624" s="10" t="str">
        <f>IF(A624="","",SUM(Lançamentos!D$9:D624))</f>
        <v/>
      </c>
      <c r="E624" s="1"/>
      <c r="F624" s="11" t="str">
        <f>IF(A624="","",SUM(Lançamentos!F$9:F624))</f>
        <v/>
      </c>
      <c r="G624" s="11" t="str">
        <f>IF(A624="","",SUM(Lançamentos!G$9:G624))</f>
        <v/>
      </c>
      <c r="H624" s="11" t="str">
        <f>IF(A624="","",SUM(Lançamentos!H$9:H624))</f>
        <v/>
      </c>
      <c r="I624" s="12" t="str">
        <f>IF(A624="","",SUM(Lançamentos!C$9:C624))</f>
        <v/>
      </c>
      <c r="J624" s="13" t="str">
        <f>IF(Lançamentos!J624="","",Lançamentos!J624)</f>
        <v/>
      </c>
    </row>
    <row r="625" spans="1:10" ht="23.1" customHeight="1">
      <c r="A625" s="1" t="str">
        <f>IF(ISNUMBER(Lançamentos!A625),Lançamentos!A625,"")</f>
        <v/>
      </c>
      <c r="B625" s="1" t="str">
        <f>IF(Lançamentos!B625="","",Lançamentos!B625)</f>
        <v/>
      </c>
      <c r="C625" s="12" t="str">
        <f>IF(ISNUMBER(Lançamentos!C625),Lançamentos!C625,"")</f>
        <v/>
      </c>
      <c r="D625" s="10" t="str">
        <f>IF(A625="","",SUM(Lançamentos!D$9:D625))</f>
        <v/>
      </c>
      <c r="E625" s="1"/>
      <c r="F625" s="11" t="str">
        <f>IF(A625="","",SUM(Lançamentos!F$9:F625))</f>
        <v/>
      </c>
      <c r="G625" s="11" t="str">
        <f>IF(A625="","",SUM(Lançamentos!G$9:G625))</f>
        <v/>
      </c>
      <c r="H625" s="11" t="str">
        <f>IF(A625="","",SUM(Lançamentos!H$9:H625))</f>
        <v/>
      </c>
      <c r="I625" s="12" t="str">
        <f>IF(A625="","",SUM(Lançamentos!C$9:C625))</f>
        <v/>
      </c>
      <c r="J625" s="13" t="str">
        <f>IF(Lançamentos!J625="","",Lançamentos!J625)</f>
        <v/>
      </c>
    </row>
    <row r="626" spans="1:10" ht="23.1" customHeight="1">
      <c r="A626" s="1" t="str">
        <f>IF(ISNUMBER(Lançamentos!A626),Lançamentos!A626,"")</f>
        <v/>
      </c>
      <c r="B626" s="1" t="str">
        <f>IF(Lançamentos!B626="","",Lançamentos!B626)</f>
        <v/>
      </c>
      <c r="C626" s="12" t="str">
        <f>IF(ISNUMBER(Lançamentos!C626),Lançamentos!C626,"")</f>
        <v/>
      </c>
      <c r="D626" s="10" t="str">
        <f>IF(A626="","",SUM(Lançamentos!D$9:D626))</f>
        <v/>
      </c>
      <c r="E626" s="1"/>
      <c r="F626" s="11" t="str">
        <f>IF(A626="","",SUM(Lançamentos!F$9:F626))</f>
        <v/>
      </c>
      <c r="G626" s="11" t="str">
        <f>IF(A626="","",SUM(Lançamentos!G$9:G626))</f>
        <v/>
      </c>
      <c r="H626" s="11" t="str">
        <f>IF(A626="","",SUM(Lançamentos!H$9:H626))</f>
        <v/>
      </c>
      <c r="I626" s="12" t="str">
        <f>IF(A626="","",SUM(Lançamentos!C$9:C626))</f>
        <v/>
      </c>
      <c r="J626" s="13" t="str">
        <f>IF(Lançamentos!J626="","",Lançamentos!J626)</f>
        <v/>
      </c>
    </row>
    <row r="627" spans="1:10" ht="23.1" customHeight="1">
      <c r="A627" s="1" t="str">
        <f>IF(ISNUMBER(Lançamentos!A627),Lançamentos!A627,"")</f>
        <v/>
      </c>
      <c r="B627" s="1" t="str">
        <f>IF(Lançamentos!B627="","",Lançamentos!B627)</f>
        <v/>
      </c>
      <c r="C627" s="12" t="str">
        <f>IF(ISNUMBER(Lançamentos!C627),Lançamentos!C627,"")</f>
        <v/>
      </c>
      <c r="D627" s="10" t="str">
        <f>IF(A627="","",SUM(Lançamentos!D$9:D627))</f>
        <v/>
      </c>
      <c r="E627" s="1"/>
      <c r="F627" s="11" t="str">
        <f>IF(A627="","",SUM(Lançamentos!F$9:F627))</f>
        <v/>
      </c>
      <c r="G627" s="11" t="str">
        <f>IF(A627="","",SUM(Lançamentos!G$9:G627))</f>
        <v/>
      </c>
      <c r="H627" s="11" t="str">
        <f>IF(A627="","",SUM(Lançamentos!H$9:H627))</f>
        <v/>
      </c>
      <c r="I627" s="12" t="str">
        <f>IF(A627="","",SUM(Lançamentos!C$9:C627))</f>
        <v/>
      </c>
      <c r="J627" s="13" t="str">
        <f>IF(Lançamentos!J627="","",Lançamentos!J627)</f>
        <v/>
      </c>
    </row>
    <row r="628" spans="1:10" ht="23.1" customHeight="1">
      <c r="A628" s="1" t="str">
        <f>IF(ISNUMBER(Lançamentos!A628),Lançamentos!A628,"")</f>
        <v/>
      </c>
      <c r="B628" s="1" t="str">
        <f>IF(Lançamentos!B628="","",Lançamentos!B628)</f>
        <v/>
      </c>
      <c r="C628" s="12" t="str">
        <f>IF(ISNUMBER(Lançamentos!C628),Lançamentos!C628,"")</f>
        <v/>
      </c>
      <c r="D628" s="10" t="str">
        <f>IF(A628="","",SUM(Lançamentos!D$9:D628))</f>
        <v/>
      </c>
      <c r="E628" s="1"/>
      <c r="F628" s="11" t="str">
        <f>IF(A628="","",SUM(Lançamentos!F$9:F628))</f>
        <v/>
      </c>
      <c r="G628" s="11" t="str">
        <f>IF(A628="","",SUM(Lançamentos!G$9:G628))</f>
        <v/>
      </c>
      <c r="H628" s="11" t="str">
        <f>IF(A628="","",SUM(Lançamentos!H$9:H628))</f>
        <v/>
      </c>
      <c r="I628" s="12" t="str">
        <f>IF(A628="","",SUM(Lançamentos!C$9:C628))</f>
        <v/>
      </c>
      <c r="J628" s="13" t="str">
        <f>IF(Lançamentos!J628="","",Lançamentos!J628)</f>
        <v/>
      </c>
    </row>
    <row r="629" spans="1:10" ht="23.1" customHeight="1">
      <c r="A629" s="1" t="str">
        <f>IF(ISNUMBER(Lançamentos!A629),Lançamentos!A629,"")</f>
        <v/>
      </c>
      <c r="B629" s="1" t="str">
        <f>IF(Lançamentos!B629="","",Lançamentos!B629)</f>
        <v/>
      </c>
      <c r="C629" s="12" t="str">
        <f>IF(ISNUMBER(Lançamentos!C629),Lançamentos!C629,"")</f>
        <v/>
      </c>
      <c r="D629" s="10" t="str">
        <f>IF(A629="","",SUM(Lançamentos!D$9:D629))</f>
        <v/>
      </c>
      <c r="E629" s="1"/>
      <c r="F629" s="11" t="str">
        <f>IF(A629="","",SUM(Lançamentos!F$9:F629))</f>
        <v/>
      </c>
      <c r="G629" s="11" t="str">
        <f>IF(A629="","",SUM(Lançamentos!G$9:G629))</f>
        <v/>
      </c>
      <c r="H629" s="11" t="str">
        <f>IF(A629="","",SUM(Lançamentos!H$9:H629))</f>
        <v/>
      </c>
      <c r="I629" s="12" t="str">
        <f>IF(A629="","",SUM(Lançamentos!C$9:C629))</f>
        <v/>
      </c>
      <c r="J629" s="13" t="str">
        <f>IF(Lançamentos!J629="","",Lançamentos!J629)</f>
        <v/>
      </c>
    </row>
    <row r="630" spans="1:10" ht="23.1" customHeight="1">
      <c r="A630" s="1" t="str">
        <f>IF(ISNUMBER(Lançamentos!A630),Lançamentos!A630,"")</f>
        <v/>
      </c>
      <c r="B630" s="1" t="str">
        <f>IF(Lançamentos!B630="","",Lançamentos!B630)</f>
        <v/>
      </c>
      <c r="C630" s="12" t="str">
        <f>IF(ISNUMBER(Lançamentos!C630),Lançamentos!C630,"")</f>
        <v/>
      </c>
      <c r="D630" s="10" t="str">
        <f>IF(A630="","",SUM(Lançamentos!D$9:D630))</f>
        <v/>
      </c>
      <c r="E630" s="1"/>
      <c r="F630" s="11" t="str">
        <f>IF(A630="","",SUM(Lançamentos!F$9:F630))</f>
        <v/>
      </c>
      <c r="G630" s="11" t="str">
        <f>IF(A630="","",SUM(Lançamentos!G$9:G630))</f>
        <v/>
      </c>
      <c r="H630" s="11" t="str">
        <f>IF(A630="","",SUM(Lançamentos!H$9:H630))</f>
        <v/>
      </c>
      <c r="I630" s="12" t="str">
        <f>IF(A630="","",SUM(Lançamentos!C$9:C630))</f>
        <v/>
      </c>
      <c r="J630" s="13" t="str">
        <f>IF(Lançamentos!J630="","",Lançamentos!J630)</f>
        <v/>
      </c>
    </row>
    <row r="631" spans="1:10" ht="23.1" customHeight="1">
      <c r="A631" s="1" t="str">
        <f>IF(ISNUMBER(Lançamentos!A631),Lançamentos!A631,"")</f>
        <v/>
      </c>
      <c r="B631" s="1" t="str">
        <f>IF(Lançamentos!B631="","",Lançamentos!B631)</f>
        <v/>
      </c>
      <c r="C631" s="12" t="str">
        <f>IF(ISNUMBER(Lançamentos!C631),Lançamentos!C631,"")</f>
        <v/>
      </c>
      <c r="D631" s="10" t="str">
        <f>IF(A631="","",SUM(Lançamentos!D$9:D631))</f>
        <v/>
      </c>
      <c r="E631" s="1"/>
      <c r="F631" s="11" t="str">
        <f>IF(A631="","",SUM(Lançamentos!F$9:F631))</f>
        <v/>
      </c>
      <c r="G631" s="11" t="str">
        <f>IF(A631="","",SUM(Lançamentos!G$9:G631))</f>
        <v/>
      </c>
      <c r="H631" s="11" t="str">
        <f>IF(A631="","",SUM(Lançamentos!H$9:H631))</f>
        <v/>
      </c>
      <c r="I631" s="12" t="str">
        <f>IF(A631="","",SUM(Lançamentos!C$9:C631))</f>
        <v/>
      </c>
      <c r="J631" s="13" t="str">
        <f>IF(Lançamentos!J631="","",Lançamentos!J631)</f>
        <v/>
      </c>
    </row>
    <row r="632" spans="1:10" ht="23.1" customHeight="1">
      <c r="A632" s="1" t="str">
        <f>IF(ISNUMBER(Lançamentos!A632),Lançamentos!A632,"")</f>
        <v/>
      </c>
      <c r="B632" s="1" t="str">
        <f>IF(Lançamentos!B632="","",Lançamentos!B632)</f>
        <v/>
      </c>
      <c r="C632" s="12" t="str">
        <f>IF(ISNUMBER(Lançamentos!C632),Lançamentos!C632,"")</f>
        <v/>
      </c>
      <c r="D632" s="10" t="str">
        <f>IF(A632="","",SUM(Lançamentos!D$9:D632))</f>
        <v/>
      </c>
      <c r="E632" s="1"/>
      <c r="F632" s="11" t="str">
        <f>IF(A632="","",SUM(Lançamentos!F$9:F632))</f>
        <v/>
      </c>
      <c r="G632" s="11" t="str">
        <f>IF(A632="","",SUM(Lançamentos!G$9:G632))</f>
        <v/>
      </c>
      <c r="H632" s="11" t="str">
        <f>IF(A632="","",SUM(Lançamentos!H$9:H632))</f>
        <v/>
      </c>
      <c r="I632" s="12" t="str">
        <f>IF(A632="","",SUM(Lançamentos!C$9:C632))</f>
        <v/>
      </c>
      <c r="J632" s="13" t="str">
        <f>IF(Lançamentos!J632="","",Lançamentos!J632)</f>
        <v/>
      </c>
    </row>
    <row r="633" spans="1:10" ht="23.1" customHeight="1">
      <c r="A633" s="1" t="str">
        <f>IF(ISNUMBER(Lançamentos!A633),Lançamentos!A633,"")</f>
        <v/>
      </c>
      <c r="B633" s="1" t="str">
        <f>IF(Lançamentos!B633="","",Lançamentos!B633)</f>
        <v/>
      </c>
      <c r="C633" s="12" t="str">
        <f>IF(ISNUMBER(Lançamentos!C633),Lançamentos!C633,"")</f>
        <v/>
      </c>
      <c r="D633" s="10" t="str">
        <f>IF(A633="","",SUM(Lançamentos!D$9:D633))</f>
        <v/>
      </c>
      <c r="E633" s="1"/>
      <c r="F633" s="11" t="str">
        <f>IF(A633="","",SUM(Lançamentos!F$9:F633))</f>
        <v/>
      </c>
      <c r="G633" s="11" t="str">
        <f>IF(A633="","",SUM(Lançamentos!G$9:G633))</f>
        <v/>
      </c>
      <c r="H633" s="11" t="str">
        <f>IF(A633="","",SUM(Lançamentos!H$9:H633))</f>
        <v/>
      </c>
      <c r="I633" s="12" t="str">
        <f>IF(A633="","",SUM(Lançamentos!C$9:C633))</f>
        <v/>
      </c>
      <c r="J633" s="13" t="str">
        <f>IF(Lançamentos!J633="","",Lançamentos!J633)</f>
        <v/>
      </c>
    </row>
    <row r="634" spans="1:10" ht="23.1" customHeight="1">
      <c r="A634" s="1" t="str">
        <f>IF(ISNUMBER(Lançamentos!A634),Lançamentos!A634,"")</f>
        <v/>
      </c>
      <c r="B634" s="1" t="str">
        <f>IF(Lançamentos!B634="","",Lançamentos!B634)</f>
        <v/>
      </c>
      <c r="C634" s="12" t="str">
        <f>IF(ISNUMBER(Lançamentos!C634),Lançamentos!C634,"")</f>
        <v/>
      </c>
      <c r="D634" s="10" t="str">
        <f>IF(A634="","",SUM(Lançamentos!D$9:D634))</f>
        <v/>
      </c>
      <c r="E634" s="1"/>
      <c r="F634" s="11" t="str">
        <f>IF(A634="","",SUM(Lançamentos!F$9:F634))</f>
        <v/>
      </c>
      <c r="G634" s="11" t="str">
        <f>IF(A634="","",SUM(Lançamentos!G$9:G634))</f>
        <v/>
      </c>
      <c r="H634" s="11" t="str">
        <f>IF(A634="","",SUM(Lançamentos!H$9:H634))</f>
        <v/>
      </c>
      <c r="I634" s="12" t="str">
        <f>IF(A634="","",SUM(Lançamentos!C$9:C634))</f>
        <v/>
      </c>
      <c r="J634" s="13" t="str">
        <f>IF(Lançamentos!J634="","",Lançamentos!J634)</f>
        <v/>
      </c>
    </row>
    <row r="635" spans="1:10" ht="23.1" customHeight="1">
      <c r="A635" s="1" t="str">
        <f>IF(ISNUMBER(Lançamentos!A635),Lançamentos!A635,"")</f>
        <v/>
      </c>
      <c r="B635" s="1" t="str">
        <f>IF(Lançamentos!B635="","",Lançamentos!B635)</f>
        <v/>
      </c>
      <c r="C635" s="12" t="str">
        <f>IF(ISNUMBER(Lançamentos!C635),Lançamentos!C635,"")</f>
        <v/>
      </c>
      <c r="D635" s="10" t="str">
        <f>IF(A635="","",SUM(Lançamentos!D$9:D635))</f>
        <v/>
      </c>
      <c r="E635" s="1"/>
      <c r="F635" s="11" t="str">
        <f>IF(A635="","",SUM(Lançamentos!F$9:F635))</f>
        <v/>
      </c>
      <c r="G635" s="11" t="str">
        <f>IF(A635="","",SUM(Lançamentos!G$9:G635))</f>
        <v/>
      </c>
      <c r="H635" s="11" t="str">
        <f>IF(A635="","",SUM(Lançamentos!H$9:H635))</f>
        <v/>
      </c>
      <c r="I635" s="12" t="str">
        <f>IF(A635="","",SUM(Lançamentos!C$9:C635))</f>
        <v/>
      </c>
      <c r="J635" s="13" t="str">
        <f>IF(Lançamentos!J635="","",Lançamentos!J635)</f>
        <v/>
      </c>
    </row>
    <row r="636" spans="1:10" ht="23.1" customHeight="1">
      <c r="A636" s="1" t="str">
        <f>IF(ISNUMBER(Lançamentos!A636),Lançamentos!A636,"")</f>
        <v/>
      </c>
      <c r="B636" s="1" t="str">
        <f>IF(Lançamentos!B636="","",Lançamentos!B636)</f>
        <v/>
      </c>
      <c r="C636" s="12" t="str">
        <f>IF(ISNUMBER(Lançamentos!C636),Lançamentos!C636,"")</f>
        <v/>
      </c>
      <c r="D636" s="10" t="str">
        <f>IF(A636="","",SUM(Lançamentos!D$9:D636))</f>
        <v/>
      </c>
      <c r="E636" s="1"/>
      <c r="F636" s="11" t="str">
        <f>IF(A636="","",SUM(Lançamentos!F$9:F636))</f>
        <v/>
      </c>
      <c r="G636" s="11" t="str">
        <f>IF(A636="","",SUM(Lançamentos!G$9:G636))</f>
        <v/>
      </c>
      <c r="H636" s="11" t="str">
        <f>IF(A636="","",SUM(Lançamentos!H$9:H636))</f>
        <v/>
      </c>
      <c r="I636" s="12" t="str">
        <f>IF(A636="","",SUM(Lançamentos!C$9:C636))</f>
        <v/>
      </c>
      <c r="J636" s="13" t="str">
        <f>IF(Lançamentos!J636="","",Lançamentos!J636)</f>
        <v/>
      </c>
    </row>
    <row r="637" spans="1:10" ht="23.1" customHeight="1">
      <c r="A637" s="1" t="str">
        <f>IF(ISNUMBER(Lançamentos!A637),Lançamentos!A637,"")</f>
        <v/>
      </c>
      <c r="B637" s="1" t="str">
        <f>IF(Lançamentos!B637="","",Lançamentos!B637)</f>
        <v/>
      </c>
      <c r="C637" s="12" t="str">
        <f>IF(ISNUMBER(Lançamentos!C637),Lançamentos!C637,"")</f>
        <v/>
      </c>
      <c r="D637" s="10" t="str">
        <f>IF(A637="","",SUM(Lançamentos!D$9:D637))</f>
        <v/>
      </c>
      <c r="E637" s="1"/>
      <c r="F637" s="11" t="str">
        <f>IF(A637="","",SUM(Lançamentos!F$9:F637))</f>
        <v/>
      </c>
      <c r="G637" s="11" t="str">
        <f>IF(A637="","",SUM(Lançamentos!G$9:G637))</f>
        <v/>
      </c>
      <c r="H637" s="11" t="str">
        <f>IF(A637="","",SUM(Lançamentos!H$9:H637))</f>
        <v/>
      </c>
      <c r="I637" s="12" t="str">
        <f>IF(A637="","",SUM(Lançamentos!C$9:C637))</f>
        <v/>
      </c>
      <c r="J637" s="13" t="str">
        <f>IF(Lançamentos!J637="","",Lançamentos!J637)</f>
        <v/>
      </c>
    </row>
    <row r="638" spans="1:10" ht="23.1" customHeight="1">
      <c r="A638" s="1" t="str">
        <f>IF(ISNUMBER(Lançamentos!A638),Lançamentos!A638,"")</f>
        <v/>
      </c>
      <c r="B638" s="1" t="str">
        <f>IF(Lançamentos!B638="","",Lançamentos!B638)</f>
        <v/>
      </c>
      <c r="C638" s="12" t="str">
        <f>IF(ISNUMBER(Lançamentos!C638),Lançamentos!C638,"")</f>
        <v/>
      </c>
      <c r="D638" s="10" t="str">
        <f>IF(A638="","",SUM(Lançamentos!D$9:D638))</f>
        <v/>
      </c>
      <c r="E638" s="1"/>
      <c r="F638" s="11" t="str">
        <f>IF(A638="","",SUM(Lançamentos!F$9:F638))</f>
        <v/>
      </c>
      <c r="G638" s="11" t="str">
        <f>IF(A638="","",SUM(Lançamentos!G$9:G638))</f>
        <v/>
      </c>
      <c r="H638" s="11" t="str">
        <f>IF(A638="","",SUM(Lançamentos!H$9:H638))</f>
        <v/>
      </c>
      <c r="I638" s="12" t="str">
        <f>IF(A638="","",SUM(Lançamentos!C$9:C638))</f>
        <v/>
      </c>
      <c r="J638" s="13" t="str">
        <f>IF(Lançamentos!J638="","",Lançamentos!J638)</f>
        <v/>
      </c>
    </row>
    <row r="639" spans="1:10" ht="23.1" customHeight="1">
      <c r="A639" s="1" t="str">
        <f>IF(ISNUMBER(Lançamentos!A639),Lançamentos!A639,"")</f>
        <v/>
      </c>
      <c r="B639" s="1" t="str">
        <f>IF(Lançamentos!B639="","",Lançamentos!B639)</f>
        <v/>
      </c>
      <c r="C639" s="12" t="str">
        <f>IF(ISNUMBER(Lançamentos!C639),Lançamentos!C639,"")</f>
        <v/>
      </c>
      <c r="D639" s="10" t="str">
        <f>IF(A639="","",SUM(Lançamentos!D$9:D639))</f>
        <v/>
      </c>
      <c r="E639" s="1"/>
      <c r="F639" s="11" t="str">
        <f>IF(A639="","",SUM(Lançamentos!F$9:F639))</f>
        <v/>
      </c>
      <c r="G639" s="11" t="str">
        <f>IF(A639="","",SUM(Lançamentos!G$9:G639))</f>
        <v/>
      </c>
      <c r="H639" s="11" t="str">
        <f>IF(A639="","",SUM(Lançamentos!H$9:H639))</f>
        <v/>
      </c>
      <c r="I639" s="12" t="str">
        <f>IF(A639="","",SUM(Lançamentos!C$9:C639))</f>
        <v/>
      </c>
      <c r="J639" s="13" t="str">
        <f>IF(Lançamentos!J639="","",Lançamentos!J639)</f>
        <v/>
      </c>
    </row>
    <row r="640" spans="1:10" ht="23.1" customHeight="1">
      <c r="A640" s="1" t="str">
        <f>IF(ISNUMBER(Lançamentos!A640),Lançamentos!A640,"")</f>
        <v/>
      </c>
      <c r="B640" s="1" t="str">
        <f>IF(Lançamentos!B640="","",Lançamentos!B640)</f>
        <v/>
      </c>
      <c r="C640" s="12" t="str">
        <f>IF(ISNUMBER(Lançamentos!C640),Lançamentos!C640,"")</f>
        <v/>
      </c>
      <c r="D640" s="10" t="str">
        <f>IF(A640="","",SUM(Lançamentos!D$9:D640))</f>
        <v/>
      </c>
      <c r="E640" s="1"/>
      <c r="F640" s="11" t="str">
        <f>IF(A640="","",SUM(Lançamentos!F$9:F640))</f>
        <v/>
      </c>
      <c r="G640" s="11" t="str">
        <f>IF(A640="","",SUM(Lançamentos!G$9:G640))</f>
        <v/>
      </c>
      <c r="H640" s="11" t="str">
        <f>IF(A640="","",SUM(Lançamentos!H$9:H640))</f>
        <v/>
      </c>
      <c r="I640" s="12" t="str">
        <f>IF(A640="","",SUM(Lançamentos!C$9:C640))</f>
        <v/>
      </c>
      <c r="J640" s="13" t="str">
        <f>IF(Lançamentos!J640="","",Lançamentos!J640)</f>
        <v/>
      </c>
    </row>
    <row r="641" spans="1:10" ht="23.1" customHeight="1">
      <c r="A641" s="1" t="str">
        <f>IF(ISNUMBER(Lançamentos!A641),Lançamentos!A641,"")</f>
        <v/>
      </c>
      <c r="B641" s="1" t="str">
        <f>IF(Lançamentos!B641="","",Lançamentos!B641)</f>
        <v/>
      </c>
      <c r="C641" s="12" t="str">
        <f>IF(ISNUMBER(Lançamentos!C641),Lançamentos!C641,"")</f>
        <v/>
      </c>
      <c r="D641" s="10" t="str">
        <f>IF(A641="","",SUM(Lançamentos!D$9:D641))</f>
        <v/>
      </c>
      <c r="E641" s="1"/>
      <c r="F641" s="11" t="str">
        <f>IF(A641="","",SUM(Lançamentos!F$9:F641))</f>
        <v/>
      </c>
      <c r="G641" s="11" t="str">
        <f>IF(A641="","",SUM(Lançamentos!G$9:G641))</f>
        <v/>
      </c>
      <c r="H641" s="11" t="str">
        <f>IF(A641="","",SUM(Lançamentos!H$9:H641))</f>
        <v/>
      </c>
      <c r="I641" s="12" t="str">
        <f>IF(A641="","",SUM(Lançamentos!C$9:C641))</f>
        <v/>
      </c>
      <c r="J641" s="13" t="str">
        <f>IF(Lançamentos!J641="","",Lançamentos!J641)</f>
        <v/>
      </c>
    </row>
    <row r="642" spans="1:10" ht="23.1" customHeight="1">
      <c r="A642" s="1" t="str">
        <f>IF(ISNUMBER(Lançamentos!A642),Lançamentos!A642,"")</f>
        <v/>
      </c>
      <c r="B642" s="1" t="str">
        <f>IF(Lançamentos!B642="","",Lançamentos!B642)</f>
        <v/>
      </c>
      <c r="C642" s="12" t="str">
        <f>IF(ISNUMBER(Lançamentos!C642),Lançamentos!C642,"")</f>
        <v/>
      </c>
      <c r="D642" s="10" t="str">
        <f>IF(A642="","",SUM(Lançamentos!D$9:D642))</f>
        <v/>
      </c>
      <c r="E642" s="1"/>
      <c r="F642" s="11" t="str">
        <f>IF(A642="","",SUM(Lançamentos!F$9:F642))</f>
        <v/>
      </c>
      <c r="G642" s="11" t="str">
        <f>IF(A642="","",SUM(Lançamentos!G$9:G642))</f>
        <v/>
      </c>
      <c r="H642" s="11" t="str">
        <f>IF(A642="","",SUM(Lançamentos!H$9:H642))</f>
        <v/>
      </c>
      <c r="I642" s="12" t="str">
        <f>IF(A642="","",SUM(Lançamentos!C$9:C642))</f>
        <v/>
      </c>
      <c r="J642" s="13" t="str">
        <f>IF(Lançamentos!J642="","",Lançamentos!J642)</f>
        <v/>
      </c>
    </row>
    <row r="643" spans="1:10" ht="23.1" customHeight="1">
      <c r="A643" s="1" t="str">
        <f>IF(ISNUMBER(Lançamentos!A643),Lançamentos!A643,"")</f>
        <v/>
      </c>
      <c r="B643" s="1" t="str">
        <f>IF(Lançamentos!B643="","",Lançamentos!B643)</f>
        <v/>
      </c>
      <c r="C643" s="12" t="str">
        <f>IF(ISNUMBER(Lançamentos!C643),Lançamentos!C643,"")</f>
        <v/>
      </c>
      <c r="D643" s="10" t="str">
        <f>IF(A643="","",SUM(Lançamentos!D$9:D643))</f>
        <v/>
      </c>
      <c r="E643" s="1"/>
      <c r="F643" s="11" t="str">
        <f>IF(A643="","",SUM(Lançamentos!F$9:F643))</f>
        <v/>
      </c>
      <c r="G643" s="11" t="str">
        <f>IF(A643="","",SUM(Lançamentos!G$9:G643))</f>
        <v/>
      </c>
      <c r="H643" s="11" t="str">
        <f>IF(A643="","",SUM(Lançamentos!H$9:H643))</f>
        <v/>
      </c>
      <c r="I643" s="12" t="str">
        <f>IF(A643="","",SUM(Lançamentos!C$9:C643))</f>
        <v/>
      </c>
      <c r="J643" s="13" t="str">
        <f>IF(Lançamentos!J643="","",Lançamentos!J643)</f>
        <v/>
      </c>
    </row>
    <row r="644" spans="1:10" ht="23.1" customHeight="1">
      <c r="A644" s="1" t="str">
        <f>IF(ISNUMBER(Lançamentos!A644),Lançamentos!A644,"")</f>
        <v/>
      </c>
      <c r="B644" s="1" t="str">
        <f>IF(Lançamentos!B644="","",Lançamentos!B644)</f>
        <v/>
      </c>
      <c r="C644" s="12" t="str">
        <f>IF(ISNUMBER(Lançamentos!C644),Lançamentos!C644,"")</f>
        <v/>
      </c>
      <c r="D644" s="10" t="str">
        <f>IF(A644="","",SUM(Lançamentos!D$9:D644))</f>
        <v/>
      </c>
      <c r="E644" s="1"/>
      <c r="F644" s="11" t="str">
        <f>IF(A644="","",SUM(Lançamentos!F$9:F644))</f>
        <v/>
      </c>
      <c r="G644" s="11" t="str">
        <f>IF(A644="","",SUM(Lançamentos!G$9:G644))</f>
        <v/>
      </c>
      <c r="H644" s="11" t="str">
        <f>IF(A644="","",SUM(Lançamentos!H$9:H644))</f>
        <v/>
      </c>
      <c r="I644" s="12" t="str">
        <f>IF(A644="","",SUM(Lançamentos!C$9:C644))</f>
        <v/>
      </c>
      <c r="J644" s="13" t="str">
        <f>IF(Lançamentos!J644="","",Lançamentos!J644)</f>
        <v/>
      </c>
    </row>
    <row r="645" spans="1:10" ht="23.1" customHeight="1">
      <c r="A645" s="1" t="str">
        <f>IF(ISNUMBER(Lançamentos!A645),Lançamentos!A645,"")</f>
        <v/>
      </c>
      <c r="B645" s="1" t="str">
        <f>IF(Lançamentos!B645="","",Lançamentos!B645)</f>
        <v/>
      </c>
      <c r="C645" s="12" t="str">
        <f>IF(ISNUMBER(Lançamentos!C645),Lançamentos!C645,"")</f>
        <v/>
      </c>
      <c r="D645" s="10" t="str">
        <f>IF(A645="","",SUM(Lançamentos!D$9:D645))</f>
        <v/>
      </c>
      <c r="E645" s="1"/>
      <c r="F645" s="11" t="str">
        <f>IF(A645="","",SUM(Lançamentos!F$9:F645))</f>
        <v/>
      </c>
      <c r="G645" s="11" t="str">
        <f>IF(A645="","",SUM(Lançamentos!G$9:G645))</f>
        <v/>
      </c>
      <c r="H645" s="11" t="str">
        <f>IF(A645="","",SUM(Lançamentos!H$9:H645))</f>
        <v/>
      </c>
      <c r="I645" s="12" t="str">
        <f>IF(A645="","",SUM(Lançamentos!C$9:C645))</f>
        <v/>
      </c>
      <c r="J645" s="13" t="str">
        <f>IF(Lançamentos!J645="","",Lançamentos!J645)</f>
        <v/>
      </c>
    </row>
    <row r="646" spans="1:10" ht="23.1" customHeight="1">
      <c r="A646" s="1" t="str">
        <f>IF(ISNUMBER(Lançamentos!A646),Lançamentos!A646,"")</f>
        <v/>
      </c>
      <c r="B646" s="1" t="str">
        <f>IF(Lançamentos!B646="","",Lançamentos!B646)</f>
        <v/>
      </c>
      <c r="C646" s="12" t="str">
        <f>IF(ISNUMBER(Lançamentos!C646),Lançamentos!C646,"")</f>
        <v/>
      </c>
      <c r="D646" s="10" t="str">
        <f>IF(A646="","",SUM(Lançamentos!D$9:D646))</f>
        <v/>
      </c>
      <c r="E646" s="1"/>
      <c r="F646" s="11" t="str">
        <f>IF(A646="","",SUM(Lançamentos!F$9:F646))</f>
        <v/>
      </c>
      <c r="G646" s="11" t="str">
        <f>IF(A646="","",SUM(Lançamentos!G$9:G646))</f>
        <v/>
      </c>
      <c r="H646" s="11" t="str">
        <f>IF(A646="","",SUM(Lançamentos!H$9:H646))</f>
        <v/>
      </c>
      <c r="I646" s="12" t="str">
        <f>IF(A646="","",SUM(Lançamentos!C$9:C646))</f>
        <v/>
      </c>
      <c r="J646" s="13" t="str">
        <f>IF(Lançamentos!J646="","",Lançamentos!J646)</f>
        <v/>
      </c>
    </row>
    <row r="647" spans="1:10" ht="23.1" customHeight="1">
      <c r="A647" s="1" t="str">
        <f>IF(ISNUMBER(Lançamentos!A647),Lançamentos!A647,"")</f>
        <v/>
      </c>
      <c r="B647" s="1" t="str">
        <f>IF(Lançamentos!B647="","",Lançamentos!B647)</f>
        <v/>
      </c>
      <c r="C647" s="12" t="str">
        <f>IF(ISNUMBER(Lançamentos!C647),Lançamentos!C647,"")</f>
        <v/>
      </c>
      <c r="D647" s="10" t="str">
        <f>IF(A647="","",SUM(Lançamentos!D$9:D647))</f>
        <v/>
      </c>
      <c r="E647" s="1"/>
      <c r="F647" s="11" t="str">
        <f>IF(A647="","",SUM(Lançamentos!F$9:F647))</f>
        <v/>
      </c>
      <c r="G647" s="11" t="str">
        <f>IF(A647="","",SUM(Lançamentos!G$9:G647))</f>
        <v/>
      </c>
      <c r="H647" s="11" t="str">
        <f>IF(A647="","",SUM(Lançamentos!H$9:H647))</f>
        <v/>
      </c>
      <c r="I647" s="12" t="str">
        <f>IF(A647="","",SUM(Lançamentos!C$9:C647))</f>
        <v/>
      </c>
      <c r="J647" s="13" t="str">
        <f>IF(Lançamentos!J647="","",Lançamentos!J647)</f>
        <v/>
      </c>
    </row>
    <row r="648" spans="1:10" ht="23.1" customHeight="1">
      <c r="A648" s="1" t="str">
        <f>IF(ISNUMBER(Lançamentos!A648),Lançamentos!A648,"")</f>
        <v/>
      </c>
      <c r="B648" s="1" t="str">
        <f>IF(Lançamentos!B648="","",Lançamentos!B648)</f>
        <v/>
      </c>
      <c r="C648" s="12" t="str">
        <f>IF(ISNUMBER(Lançamentos!C648),Lançamentos!C648,"")</f>
        <v/>
      </c>
      <c r="D648" s="10" t="str">
        <f>IF(A648="","",SUM(Lançamentos!D$9:D648))</f>
        <v/>
      </c>
      <c r="E648" s="1"/>
      <c r="F648" s="11" t="str">
        <f>IF(A648="","",SUM(Lançamentos!F$9:F648))</f>
        <v/>
      </c>
      <c r="G648" s="11" t="str">
        <f>IF(A648="","",SUM(Lançamentos!G$9:G648))</f>
        <v/>
      </c>
      <c r="H648" s="11" t="str">
        <f>IF(A648="","",SUM(Lançamentos!H$9:H648))</f>
        <v/>
      </c>
      <c r="I648" s="12" t="str">
        <f>IF(A648="","",SUM(Lançamentos!C$9:C648))</f>
        <v/>
      </c>
      <c r="J648" s="13" t="str">
        <f>IF(Lançamentos!J648="","",Lançamentos!J648)</f>
        <v/>
      </c>
    </row>
    <row r="649" spans="1:10" ht="23.1" customHeight="1">
      <c r="A649" s="1" t="str">
        <f>IF(ISNUMBER(Lançamentos!A649),Lançamentos!A649,"")</f>
        <v/>
      </c>
      <c r="B649" s="1" t="str">
        <f>IF(Lançamentos!B649="","",Lançamentos!B649)</f>
        <v/>
      </c>
      <c r="C649" s="12" t="str">
        <f>IF(ISNUMBER(Lançamentos!C649),Lançamentos!C649,"")</f>
        <v/>
      </c>
      <c r="D649" s="10" t="str">
        <f>IF(A649="","",SUM(Lançamentos!D$9:D649))</f>
        <v/>
      </c>
      <c r="E649" s="1"/>
      <c r="F649" s="11" t="str">
        <f>IF(A649="","",SUM(Lançamentos!F$9:F649))</f>
        <v/>
      </c>
      <c r="G649" s="11" t="str">
        <f>IF(A649="","",SUM(Lançamentos!G$9:G649))</f>
        <v/>
      </c>
      <c r="H649" s="11" t="str">
        <f>IF(A649="","",SUM(Lançamentos!H$9:H649))</f>
        <v/>
      </c>
      <c r="I649" s="12" t="str">
        <f>IF(A649="","",SUM(Lançamentos!C$9:C649))</f>
        <v/>
      </c>
      <c r="J649" s="13" t="str">
        <f>IF(Lançamentos!J649="","",Lançamentos!J649)</f>
        <v/>
      </c>
    </row>
    <row r="650" spans="1:10" ht="23.1" customHeight="1">
      <c r="A650" s="1" t="str">
        <f>IF(ISNUMBER(Lançamentos!A650),Lançamentos!A650,"")</f>
        <v/>
      </c>
      <c r="B650" s="1" t="str">
        <f>IF(Lançamentos!B650="","",Lançamentos!B650)</f>
        <v/>
      </c>
      <c r="C650" s="12" t="str">
        <f>IF(ISNUMBER(Lançamentos!C650),Lançamentos!C650,"")</f>
        <v/>
      </c>
      <c r="D650" s="10" t="str">
        <f>IF(A650="","",SUM(Lançamentos!D$9:D650))</f>
        <v/>
      </c>
      <c r="E650" s="1"/>
      <c r="F650" s="11" t="str">
        <f>IF(A650="","",SUM(Lançamentos!F$9:F650))</f>
        <v/>
      </c>
      <c r="G650" s="11" t="str">
        <f>IF(A650="","",SUM(Lançamentos!G$9:G650))</f>
        <v/>
      </c>
      <c r="H650" s="11" t="str">
        <f>IF(A650="","",SUM(Lançamentos!H$9:H650))</f>
        <v/>
      </c>
      <c r="I650" s="12" t="str">
        <f>IF(A650="","",SUM(Lançamentos!C$9:C650))</f>
        <v/>
      </c>
      <c r="J650" s="13" t="str">
        <f>IF(Lançamentos!J650="","",Lançamentos!J650)</f>
        <v/>
      </c>
    </row>
    <row r="651" spans="1:10" ht="23.1" customHeight="1">
      <c r="A651" s="1" t="str">
        <f>IF(ISNUMBER(Lançamentos!A651),Lançamentos!A651,"")</f>
        <v/>
      </c>
      <c r="B651" s="1" t="str">
        <f>IF(Lançamentos!B651="","",Lançamentos!B651)</f>
        <v/>
      </c>
      <c r="C651" s="12" t="str">
        <f>IF(ISNUMBER(Lançamentos!C651),Lançamentos!C651,"")</f>
        <v/>
      </c>
      <c r="D651" s="10" t="str">
        <f>IF(A651="","",SUM(Lançamentos!D$9:D651))</f>
        <v/>
      </c>
      <c r="E651" s="1"/>
      <c r="F651" s="11" t="str">
        <f>IF(A651="","",SUM(Lançamentos!F$9:F651))</f>
        <v/>
      </c>
      <c r="G651" s="11" t="str">
        <f>IF(A651="","",SUM(Lançamentos!G$9:G651))</f>
        <v/>
      </c>
      <c r="H651" s="11" t="str">
        <f>IF(A651="","",SUM(Lançamentos!H$9:H651))</f>
        <v/>
      </c>
      <c r="I651" s="12" t="str">
        <f>IF(A651="","",SUM(Lançamentos!C$9:C651))</f>
        <v/>
      </c>
      <c r="J651" s="13" t="str">
        <f>IF(Lançamentos!J651="","",Lançamentos!J651)</f>
        <v/>
      </c>
    </row>
    <row r="652" spans="1:10" ht="23.1" customHeight="1">
      <c r="A652" s="1" t="str">
        <f>IF(ISNUMBER(Lançamentos!A652),Lançamentos!A652,"")</f>
        <v/>
      </c>
      <c r="B652" s="1" t="str">
        <f>IF(Lançamentos!B652="","",Lançamentos!B652)</f>
        <v/>
      </c>
      <c r="C652" s="12" t="str">
        <f>IF(ISNUMBER(Lançamentos!C652),Lançamentos!C652,"")</f>
        <v/>
      </c>
      <c r="D652" s="10" t="str">
        <f>IF(A652="","",SUM(Lançamentos!D$9:D652))</f>
        <v/>
      </c>
      <c r="E652" s="1"/>
      <c r="F652" s="11" t="str">
        <f>IF(A652="","",SUM(Lançamentos!F$9:F652))</f>
        <v/>
      </c>
      <c r="G652" s="11" t="str">
        <f>IF(A652="","",SUM(Lançamentos!G$9:G652))</f>
        <v/>
      </c>
      <c r="H652" s="11" t="str">
        <f>IF(A652="","",SUM(Lançamentos!H$9:H652))</f>
        <v/>
      </c>
      <c r="I652" s="12" t="str">
        <f>IF(A652="","",SUM(Lançamentos!C$9:C652))</f>
        <v/>
      </c>
      <c r="J652" s="13" t="str">
        <f>IF(Lançamentos!J652="","",Lançamentos!J652)</f>
        <v/>
      </c>
    </row>
    <row r="653" spans="1:10" ht="23.1" customHeight="1">
      <c r="A653" s="1" t="str">
        <f>IF(ISNUMBER(Lançamentos!A653),Lançamentos!A653,"")</f>
        <v/>
      </c>
      <c r="B653" s="1" t="str">
        <f>IF(Lançamentos!B653="","",Lançamentos!B653)</f>
        <v/>
      </c>
      <c r="C653" s="12" t="str">
        <f>IF(ISNUMBER(Lançamentos!C653),Lançamentos!C653,"")</f>
        <v/>
      </c>
      <c r="D653" s="10" t="str">
        <f>IF(A653="","",SUM(Lançamentos!D$9:D653))</f>
        <v/>
      </c>
      <c r="E653" s="1"/>
      <c r="F653" s="11" t="str">
        <f>IF(A653="","",SUM(Lançamentos!F$9:F653))</f>
        <v/>
      </c>
      <c r="G653" s="11" t="str">
        <f>IF(A653="","",SUM(Lançamentos!G$9:G653))</f>
        <v/>
      </c>
      <c r="H653" s="11" t="str">
        <f>IF(A653="","",SUM(Lançamentos!H$9:H653))</f>
        <v/>
      </c>
      <c r="I653" s="12" t="str">
        <f>IF(A653="","",SUM(Lançamentos!C$9:C653))</f>
        <v/>
      </c>
      <c r="J653" s="13" t="str">
        <f>IF(Lançamentos!J653="","",Lançamentos!J653)</f>
        <v/>
      </c>
    </row>
    <row r="654" spans="1:10" ht="23.1" customHeight="1">
      <c r="A654" s="1" t="str">
        <f>IF(ISNUMBER(Lançamentos!A654),Lançamentos!A654,"")</f>
        <v/>
      </c>
      <c r="B654" s="1" t="str">
        <f>IF(Lançamentos!B654="","",Lançamentos!B654)</f>
        <v/>
      </c>
      <c r="C654" s="12" t="str">
        <f>IF(ISNUMBER(Lançamentos!C654),Lançamentos!C654,"")</f>
        <v/>
      </c>
      <c r="D654" s="10" t="str">
        <f>IF(A654="","",SUM(Lançamentos!D$9:D654))</f>
        <v/>
      </c>
      <c r="E654" s="1"/>
      <c r="F654" s="11" t="str">
        <f>IF(A654="","",SUM(Lançamentos!F$9:F654))</f>
        <v/>
      </c>
      <c r="G654" s="11" t="str">
        <f>IF(A654="","",SUM(Lançamentos!G$9:G654))</f>
        <v/>
      </c>
      <c r="H654" s="11" t="str">
        <f>IF(A654="","",SUM(Lançamentos!H$9:H654))</f>
        <v/>
      </c>
      <c r="I654" s="12" t="str">
        <f>IF(A654="","",SUM(Lançamentos!C$9:C654))</f>
        <v/>
      </c>
      <c r="J654" s="13" t="str">
        <f>IF(Lançamentos!J654="","",Lançamentos!J654)</f>
        <v/>
      </c>
    </row>
    <row r="655" spans="1:10" ht="23.1" customHeight="1">
      <c r="A655" s="1" t="str">
        <f>IF(ISNUMBER(Lançamentos!A655),Lançamentos!A655,"")</f>
        <v/>
      </c>
      <c r="B655" s="1" t="str">
        <f>IF(Lançamentos!B655="","",Lançamentos!B655)</f>
        <v/>
      </c>
      <c r="C655" s="12" t="str">
        <f>IF(ISNUMBER(Lançamentos!C655),Lançamentos!C655,"")</f>
        <v/>
      </c>
      <c r="D655" s="10" t="str">
        <f>IF(A655="","",SUM(Lançamentos!D$9:D655))</f>
        <v/>
      </c>
      <c r="E655" s="1"/>
      <c r="F655" s="11" t="str">
        <f>IF(A655="","",SUM(Lançamentos!F$9:F655))</f>
        <v/>
      </c>
      <c r="G655" s="11" t="str">
        <f>IF(A655="","",SUM(Lançamentos!G$9:G655))</f>
        <v/>
      </c>
      <c r="H655" s="11" t="str">
        <f>IF(A655="","",SUM(Lançamentos!H$9:H655))</f>
        <v/>
      </c>
      <c r="I655" s="12" t="str">
        <f>IF(A655="","",SUM(Lançamentos!C$9:C655))</f>
        <v/>
      </c>
      <c r="J655" s="13" t="str">
        <f>IF(Lançamentos!J655="","",Lançamentos!J655)</f>
        <v/>
      </c>
    </row>
    <row r="656" spans="1:10" ht="23.1" customHeight="1">
      <c r="A656" s="1" t="str">
        <f>IF(ISNUMBER(Lançamentos!A656),Lançamentos!A656,"")</f>
        <v/>
      </c>
      <c r="B656" s="1" t="str">
        <f>IF(Lançamentos!B656="","",Lançamentos!B656)</f>
        <v/>
      </c>
      <c r="C656" s="12" t="str">
        <f>IF(ISNUMBER(Lançamentos!C656),Lançamentos!C656,"")</f>
        <v/>
      </c>
      <c r="D656" s="10" t="str">
        <f>IF(A656="","",SUM(Lançamentos!D$9:D656))</f>
        <v/>
      </c>
      <c r="E656" s="1"/>
      <c r="F656" s="11" t="str">
        <f>IF(A656="","",SUM(Lançamentos!F$9:F656))</f>
        <v/>
      </c>
      <c r="G656" s="11" t="str">
        <f>IF(A656="","",SUM(Lançamentos!G$9:G656))</f>
        <v/>
      </c>
      <c r="H656" s="11" t="str">
        <f>IF(A656="","",SUM(Lançamentos!H$9:H656))</f>
        <v/>
      </c>
      <c r="I656" s="12" t="str">
        <f>IF(A656="","",SUM(Lançamentos!C$9:C656))</f>
        <v/>
      </c>
      <c r="J656" s="13" t="str">
        <f>IF(Lançamentos!J656="","",Lançamentos!J656)</f>
        <v/>
      </c>
    </row>
    <row r="657" spans="1:10" ht="23.1" customHeight="1">
      <c r="A657" s="1" t="str">
        <f>IF(ISNUMBER(Lançamentos!A657),Lançamentos!A657,"")</f>
        <v/>
      </c>
      <c r="B657" s="1" t="str">
        <f>IF(Lançamentos!B657="","",Lançamentos!B657)</f>
        <v/>
      </c>
      <c r="C657" s="12" t="str">
        <f>IF(ISNUMBER(Lançamentos!C657),Lançamentos!C657,"")</f>
        <v/>
      </c>
      <c r="D657" s="10" t="str">
        <f>IF(A657="","",SUM(Lançamentos!D$9:D657))</f>
        <v/>
      </c>
      <c r="E657" s="1"/>
      <c r="F657" s="11" t="str">
        <f>IF(A657="","",SUM(Lançamentos!F$9:F657))</f>
        <v/>
      </c>
      <c r="G657" s="11" t="str">
        <f>IF(A657="","",SUM(Lançamentos!G$9:G657))</f>
        <v/>
      </c>
      <c r="H657" s="11" t="str">
        <f>IF(A657="","",SUM(Lançamentos!H$9:H657))</f>
        <v/>
      </c>
      <c r="I657" s="12" t="str">
        <f>IF(A657="","",SUM(Lançamentos!C$9:C657))</f>
        <v/>
      </c>
      <c r="J657" s="13" t="str">
        <f>IF(Lançamentos!J657="","",Lançamentos!J657)</f>
        <v/>
      </c>
    </row>
    <row r="658" spans="1:10" ht="23.1" customHeight="1">
      <c r="A658" s="1" t="str">
        <f>IF(ISNUMBER(Lançamentos!A658),Lançamentos!A658,"")</f>
        <v/>
      </c>
      <c r="B658" s="1" t="str">
        <f>IF(Lançamentos!B658="","",Lançamentos!B658)</f>
        <v/>
      </c>
      <c r="C658" s="12" t="str">
        <f>IF(ISNUMBER(Lançamentos!C658),Lançamentos!C658,"")</f>
        <v/>
      </c>
      <c r="D658" s="10" t="str">
        <f>IF(A658="","",SUM(Lançamentos!D$9:D658))</f>
        <v/>
      </c>
      <c r="E658" s="1"/>
      <c r="F658" s="11" t="str">
        <f>IF(A658="","",SUM(Lançamentos!F$9:F658))</f>
        <v/>
      </c>
      <c r="G658" s="11" t="str">
        <f>IF(A658="","",SUM(Lançamentos!G$9:G658))</f>
        <v/>
      </c>
      <c r="H658" s="11" t="str">
        <f>IF(A658="","",SUM(Lançamentos!H$9:H658))</f>
        <v/>
      </c>
      <c r="I658" s="12" t="str">
        <f>IF(A658="","",SUM(Lançamentos!C$9:C658))</f>
        <v/>
      </c>
      <c r="J658" s="13" t="str">
        <f>IF(Lançamentos!J658="","",Lançamentos!J658)</f>
        <v/>
      </c>
    </row>
    <row r="659" spans="1:10" ht="23.1" customHeight="1">
      <c r="A659" s="1" t="str">
        <f>IF(ISNUMBER(Lançamentos!A659),Lançamentos!A659,"")</f>
        <v/>
      </c>
      <c r="B659" s="1" t="str">
        <f>IF(Lançamentos!B659="","",Lançamentos!B659)</f>
        <v/>
      </c>
      <c r="C659" s="12" t="str">
        <f>IF(ISNUMBER(Lançamentos!C659),Lançamentos!C659,"")</f>
        <v/>
      </c>
      <c r="D659" s="10" t="str">
        <f>IF(A659="","",SUM(Lançamentos!D$9:D659))</f>
        <v/>
      </c>
      <c r="E659" s="1"/>
      <c r="F659" s="11" t="str">
        <f>IF(A659="","",SUM(Lançamentos!F$9:F659))</f>
        <v/>
      </c>
      <c r="G659" s="11" t="str">
        <f>IF(A659="","",SUM(Lançamentos!G$9:G659))</f>
        <v/>
      </c>
      <c r="H659" s="11" t="str">
        <f>IF(A659="","",SUM(Lançamentos!H$9:H659))</f>
        <v/>
      </c>
      <c r="I659" s="12" t="str">
        <f>IF(A659="","",SUM(Lançamentos!C$9:C659))</f>
        <v/>
      </c>
      <c r="J659" s="13" t="str">
        <f>IF(Lançamentos!J659="","",Lançamentos!J659)</f>
        <v/>
      </c>
    </row>
    <row r="660" spans="1:10" ht="23.1" customHeight="1">
      <c r="A660" s="1" t="str">
        <f>IF(ISNUMBER(Lançamentos!A660),Lançamentos!A660,"")</f>
        <v/>
      </c>
      <c r="B660" s="1" t="str">
        <f>IF(Lançamentos!B660="","",Lançamentos!B660)</f>
        <v/>
      </c>
      <c r="C660" s="12" t="str">
        <f>IF(ISNUMBER(Lançamentos!C660),Lançamentos!C660,"")</f>
        <v/>
      </c>
      <c r="D660" s="10" t="str">
        <f>IF(A660="","",SUM(Lançamentos!D$9:D660))</f>
        <v/>
      </c>
      <c r="E660" s="1"/>
      <c r="F660" s="11" t="str">
        <f>IF(A660="","",SUM(Lançamentos!F$9:F660))</f>
        <v/>
      </c>
      <c r="G660" s="11" t="str">
        <f>IF(A660="","",SUM(Lançamentos!G$9:G660))</f>
        <v/>
      </c>
      <c r="H660" s="11" t="str">
        <f>IF(A660="","",SUM(Lançamentos!H$9:H660))</f>
        <v/>
      </c>
      <c r="I660" s="12" t="str">
        <f>IF(A660="","",SUM(Lançamentos!C$9:C660))</f>
        <v/>
      </c>
      <c r="J660" s="13" t="str">
        <f>IF(Lançamentos!J660="","",Lançamentos!J660)</f>
        <v/>
      </c>
    </row>
    <row r="661" spans="1:10" ht="23.1" customHeight="1">
      <c r="A661" s="1" t="str">
        <f>IF(ISNUMBER(Lançamentos!A661),Lançamentos!A661,"")</f>
        <v/>
      </c>
      <c r="B661" s="1" t="str">
        <f>IF(Lançamentos!B661="","",Lançamentos!B661)</f>
        <v/>
      </c>
      <c r="C661" s="12" t="str">
        <f>IF(ISNUMBER(Lançamentos!C661),Lançamentos!C661,"")</f>
        <v/>
      </c>
      <c r="D661" s="10" t="str">
        <f>IF(A661="","",SUM(Lançamentos!D$9:D661))</f>
        <v/>
      </c>
      <c r="E661" s="1"/>
      <c r="F661" s="11" t="str">
        <f>IF(A661="","",SUM(Lançamentos!F$9:F661))</f>
        <v/>
      </c>
      <c r="G661" s="11" t="str">
        <f>IF(A661="","",SUM(Lançamentos!G$9:G661))</f>
        <v/>
      </c>
      <c r="H661" s="11" t="str">
        <f>IF(A661="","",SUM(Lançamentos!H$9:H661))</f>
        <v/>
      </c>
      <c r="I661" s="12" t="str">
        <f>IF(A661="","",SUM(Lançamentos!C$9:C661))</f>
        <v/>
      </c>
      <c r="J661" s="13" t="str">
        <f>IF(Lançamentos!J661="","",Lançamentos!J661)</f>
        <v/>
      </c>
    </row>
    <row r="662" spans="1:10" ht="23.1" customHeight="1">
      <c r="A662" s="1" t="str">
        <f>IF(ISNUMBER(Lançamentos!A662),Lançamentos!A662,"")</f>
        <v/>
      </c>
      <c r="B662" s="1" t="str">
        <f>IF(Lançamentos!B662="","",Lançamentos!B662)</f>
        <v/>
      </c>
      <c r="C662" s="12" t="str">
        <f>IF(ISNUMBER(Lançamentos!C662),Lançamentos!C662,"")</f>
        <v/>
      </c>
      <c r="D662" s="10" t="str">
        <f>IF(A662="","",SUM(Lançamentos!D$9:D662))</f>
        <v/>
      </c>
      <c r="E662" s="1"/>
      <c r="F662" s="11" t="str">
        <f>IF(A662="","",SUM(Lançamentos!F$9:F662))</f>
        <v/>
      </c>
      <c r="G662" s="11" t="str">
        <f>IF(A662="","",SUM(Lançamentos!G$9:G662))</f>
        <v/>
      </c>
      <c r="H662" s="11" t="str">
        <f>IF(A662="","",SUM(Lançamentos!H$9:H662))</f>
        <v/>
      </c>
      <c r="I662" s="12" t="str">
        <f>IF(A662="","",SUM(Lançamentos!C$9:C662))</f>
        <v/>
      </c>
      <c r="J662" s="13" t="str">
        <f>IF(Lançamentos!J662="","",Lançamentos!J662)</f>
        <v/>
      </c>
    </row>
    <row r="663" spans="1:10" ht="23.1" customHeight="1">
      <c r="A663" s="1" t="str">
        <f>IF(ISNUMBER(Lançamentos!A663),Lançamentos!A663,"")</f>
        <v/>
      </c>
      <c r="B663" s="1" t="str">
        <f>IF(Lançamentos!B663="","",Lançamentos!B663)</f>
        <v/>
      </c>
      <c r="C663" s="12" t="str">
        <f>IF(ISNUMBER(Lançamentos!C663),Lançamentos!C663,"")</f>
        <v/>
      </c>
      <c r="D663" s="10" t="str">
        <f>IF(A663="","",SUM(Lançamentos!D$9:D663))</f>
        <v/>
      </c>
      <c r="E663" s="1"/>
      <c r="F663" s="11" t="str">
        <f>IF(A663="","",SUM(Lançamentos!F$9:F663))</f>
        <v/>
      </c>
      <c r="G663" s="11" t="str">
        <f>IF(A663="","",SUM(Lançamentos!G$9:G663))</f>
        <v/>
      </c>
      <c r="H663" s="11" t="str">
        <f>IF(A663="","",SUM(Lançamentos!H$9:H663))</f>
        <v/>
      </c>
      <c r="I663" s="12" t="str">
        <f>IF(A663="","",SUM(Lançamentos!C$9:C663))</f>
        <v/>
      </c>
      <c r="J663" s="13" t="str">
        <f>IF(Lançamentos!J663="","",Lançamentos!J663)</f>
        <v/>
      </c>
    </row>
    <row r="664" spans="1:10" ht="23.1" customHeight="1">
      <c r="A664" s="1" t="str">
        <f>IF(ISNUMBER(Lançamentos!A664),Lançamentos!A664,"")</f>
        <v/>
      </c>
      <c r="B664" s="1" t="str">
        <f>IF(Lançamentos!B664="","",Lançamentos!B664)</f>
        <v/>
      </c>
      <c r="C664" s="12" t="str">
        <f>IF(ISNUMBER(Lançamentos!C664),Lançamentos!C664,"")</f>
        <v/>
      </c>
      <c r="D664" s="10" t="str">
        <f>IF(A664="","",SUM(Lançamentos!D$9:D664))</f>
        <v/>
      </c>
      <c r="E664" s="1"/>
      <c r="F664" s="11" t="str">
        <f>IF(A664="","",SUM(Lançamentos!F$9:F664))</f>
        <v/>
      </c>
      <c r="G664" s="11" t="str">
        <f>IF(A664="","",SUM(Lançamentos!G$9:G664))</f>
        <v/>
      </c>
      <c r="H664" s="11" t="str">
        <f>IF(A664="","",SUM(Lançamentos!H$9:H664))</f>
        <v/>
      </c>
      <c r="I664" s="12" t="str">
        <f>IF(A664="","",SUM(Lançamentos!C$9:C664))</f>
        <v/>
      </c>
      <c r="J664" s="13" t="str">
        <f>IF(Lançamentos!J664="","",Lançamentos!J664)</f>
        <v/>
      </c>
    </row>
    <row r="665" spans="1:10" ht="23.1" customHeight="1">
      <c r="A665" s="1" t="str">
        <f>IF(ISNUMBER(Lançamentos!A665),Lançamentos!A665,"")</f>
        <v/>
      </c>
      <c r="B665" s="1" t="str">
        <f>IF(Lançamentos!B665="","",Lançamentos!B665)</f>
        <v/>
      </c>
      <c r="C665" s="12" t="str">
        <f>IF(ISNUMBER(Lançamentos!C665),Lançamentos!C665,"")</f>
        <v/>
      </c>
      <c r="D665" s="10" t="str">
        <f>IF(A665="","",SUM(Lançamentos!D$9:D665))</f>
        <v/>
      </c>
      <c r="E665" s="1"/>
      <c r="F665" s="11" t="str">
        <f>IF(A665="","",SUM(Lançamentos!F$9:F665))</f>
        <v/>
      </c>
      <c r="G665" s="11" t="str">
        <f>IF(A665="","",SUM(Lançamentos!G$9:G665))</f>
        <v/>
      </c>
      <c r="H665" s="11" t="str">
        <f>IF(A665="","",SUM(Lançamentos!H$9:H665))</f>
        <v/>
      </c>
      <c r="I665" s="12" t="str">
        <f>IF(A665="","",SUM(Lançamentos!C$9:C665))</f>
        <v/>
      </c>
      <c r="J665" s="13" t="str">
        <f>IF(Lançamentos!J665="","",Lançamentos!J665)</f>
        <v/>
      </c>
    </row>
    <row r="666" spans="1:10" ht="23.1" customHeight="1">
      <c r="A666" s="1" t="str">
        <f>IF(ISNUMBER(Lançamentos!A666),Lançamentos!A666,"")</f>
        <v/>
      </c>
      <c r="B666" s="1" t="str">
        <f>IF(Lançamentos!B666="","",Lançamentos!B666)</f>
        <v/>
      </c>
      <c r="C666" s="12" t="str">
        <f>IF(ISNUMBER(Lançamentos!C666),Lançamentos!C666,"")</f>
        <v/>
      </c>
      <c r="D666" s="10" t="str">
        <f>IF(A666="","",SUM(Lançamentos!D$9:D666))</f>
        <v/>
      </c>
      <c r="E666" s="1"/>
      <c r="F666" s="11" t="str">
        <f>IF(A666="","",SUM(Lançamentos!F$9:F666))</f>
        <v/>
      </c>
      <c r="G666" s="11" t="str">
        <f>IF(A666="","",SUM(Lançamentos!G$9:G666))</f>
        <v/>
      </c>
      <c r="H666" s="11" t="str">
        <f>IF(A666="","",SUM(Lançamentos!H$9:H666))</f>
        <v/>
      </c>
      <c r="I666" s="12" t="str">
        <f>IF(A666="","",SUM(Lançamentos!C$9:C666))</f>
        <v/>
      </c>
      <c r="J666" s="13" t="str">
        <f>IF(Lançamentos!J666="","",Lançamentos!J666)</f>
        <v/>
      </c>
    </row>
    <row r="667" spans="1:10" ht="23.1" customHeight="1">
      <c r="A667" s="1" t="str">
        <f>IF(ISNUMBER(Lançamentos!A667),Lançamentos!A667,"")</f>
        <v/>
      </c>
      <c r="B667" s="1" t="str">
        <f>IF(Lançamentos!B667="","",Lançamentos!B667)</f>
        <v/>
      </c>
      <c r="C667" s="12" t="str">
        <f>IF(ISNUMBER(Lançamentos!C667),Lançamentos!C667,"")</f>
        <v/>
      </c>
      <c r="D667" s="10" t="str">
        <f>IF(A667="","",SUM(Lançamentos!D$9:D667))</f>
        <v/>
      </c>
      <c r="E667" s="1"/>
      <c r="F667" s="11" t="str">
        <f>IF(A667="","",SUM(Lançamentos!F$9:F667))</f>
        <v/>
      </c>
      <c r="G667" s="11" t="str">
        <f>IF(A667="","",SUM(Lançamentos!G$9:G667))</f>
        <v/>
      </c>
      <c r="H667" s="11" t="str">
        <f>IF(A667="","",SUM(Lançamentos!H$9:H667))</f>
        <v/>
      </c>
      <c r="I667" s="12" t="str">
        <f>IF(A667="","",SUM(Lançamentos!C$9:C667))</f>
        <v/>
      </c>
      <c r="J667" s="13" t="str">
        <f>IF(Lançamentos!J667="","",Lançamentos!J667)</f>
        <v/>
      </c>
    </row>
    <row r="668" spans="1:10" ht="23.1" customHeight="1">
      <c r="A668" s="1" t="str">
        <f>IF(ISNUMBER(Lançamentos!A668),Lançamentos!A668,"")</f>
        <v/>
      </c>
      <c r="B668" s="1" t="str">
        <f>IF(Lançamentos!B668="","",Lançamentos!B668)</f>
        <v/>
      </c>
      <c r="C668" s="12" t="str">
        <f>IF(ISNUMBER(Lançamentos!C668),Lançamentos!C668,"")</f>
        <v/>
      </c>
      <c r="D668" s="10" t="str">
        <f>IF(A668="","",SUM(Lançamentos!D$9:D668))</f>
        <v/>
      </c>
      <c r="E668" s="1"/>
      <c r="F668" s="11" t="str">
        <f>IF(A668="","",SUM(Lançamentos!F$9:F668))</f>
        <v/>
      </c>
      <c r="G668" s="11" t="str">
        <f>IF(A668="","",SUM(Lançamentos!G$9:G668))</f>
        <v/>
      </c>
      <c r="H668" s="11" t="str">
        <f>IF(A668="","",SUM(Lançamentos!H$9:H668))</f>
        <v/>
      </c>
      <c r="I668" s="12" t="str">
        <f>IF(A668="","",SUM(Lançamentos!C$9:C668))</f>
        <v/>
      </c>
      <c r="J668" s="13" t="str">
        <f>IF(Lançamentos!J668="","",Lançamentos!J668)</f>
        <v/>
      </c>
    </row>
    <row r="669" spans="1:10" ht="23.1" customHeight="1">
      <c r="A669" s="1" t="str">
        <f>IF(ISNUMBER(Lançamentos!A669),Lançamentos!A669,"")</f>
        <v/>
      </c>
      <c r="B669" s="1" t="str">
        <f>IF(Lançamentos!B669="","",Lançamentos!B669)</f>
        <v/>
      </c>
      <c r="C669" s="12" t="str">
        <f>IF(ISNUMBER(Lançamentos!C669),Lançamentos!C669,"")</f>
        <v/>
      </c>
      <c r="D669" s="10" t="str">
        <f>IF(A669="","",SUM(Lançamentos!D$9:D669))</f>
        <v/>
      </c>
      <c r="E669" s="1"/>
      <c r="F669" s="11" t="str">
        <f>IF(A669="","",SUM(Lançamentos!F$9:F669))</f>
        <v/>
      </c>
      <c r="G669" s="11" t="str">
        <f>IF(A669="","",SUM(Lançamentos!G$9:G669))</f>
        <v/>
      </c>
      <c r="H669" s="11" t="str">
        <f>IF(A669="","",SUM(Lançamentos!H$9:H669))</f>
        <v/>
      </c>
      <c r="I669" s="12" t="str">
        <f>IF(A669="","",SUM(Lançamentos!C$9:C669))</f>
        <v/>
      </c>
      <c r="J669" s="13" t="str">
        <f>IF(Lançamentos!J669="","",Lançamentos!J669)</f>
        <v/>
      </c>
    </row>
    <row r="670" spans="1:10" ht="23.1" customHeight="1">
      <c r="A670" s="1" t="str">
        <f>IF(ISNUMBER(Lançamentos!A670),Lançamentos!A670,"")</f>
        <v/>
      </c>
      <c r="B670" s="1" t="str">
        <f>IF(Lançamentos!B670="","",Lançamentos!B670)</f>
        <v/>
      </c>
      <c r="C670" s="12" t="str">
        <f>IF(ISNUMBER(Lançamentos!C670),Lançamentos!C670,"")</f>
        <v/>
      </c>
      <c r="D670" s="10" t="str">
        <f>IF(A670="","",SUM(Lançamentos!D$9:D670))</f>
        <v/>
      </c>
      <c r="E670" s="1"/>
      <c r="F670" s="11" t="str">
        <f>IF(A670="","",SUM(Lançamentos!F$9:F670))</f>
        <v/>
      </c>
      <c r="G670" s="11" t="str">
        <f>IF(A670="","",SUM(Lançamentos!G$9:G670))</f>
        <v/>
      </c>
      <c r="H670" s="11" t="str">
        <f>IF(A670="","",SUM(Lançamentos!H$9:H670))</f>
        <v/>
      </c>
      <c r="I670" s="12" t="str">
        <f>IF(A670="","",SUM(Lançamentos!C$9:C670))</f>
        <v/>
      </c>
      <c r="J670" s="13" t="str">
        <f>IF(Lançamentos!J670="","",Lançamentos!J670)</f>
        <v/>
      </c>
    </row>
    <row r="671" spans="1:10" ht="23.1" customHeight="1">
      <c r="A671" s="1" t="str">
        <f>IF(ISNUMBER(Lançamentos!A671),Lançamentos!A671,"")</f>
        <v/>
      </c>
      <c r="B671" s="1" t="str">
        <f>IF(Lançamentos!B671="","",Lançamentos!B671)</f>
        <v/>
      </c>
      <c r="C671" s="12" t="str">
        <f>IF(ISNUMBER(Lançamentos!C671),Lançamentos!C671,"")</f>
        <v/>
      </c>
      <c r="D671" s="10" t="str">
        <f>IF(A671="","",SUM(Lançamentos!D$9:D671))</f>
        <v/>
      </c>
      <c r="E671" s="1"/>
      <c r="F671" s="11" t="str">
        <f>IF(A671="","",SUM(Lançamentos!F$9:F671))</f>
        <v/>
      </c>
      <c r="G671" s="11" t="str">
        <f>IF(A671="","",SUM(Lançamentos!G$9:G671))</f>
        <v/>
      </c>
      <c r="H671" s="11" t="str">
        <f>IF(A671="","",SUM(Lançamentos!H$9:H671))</f>
        <v/>
      </c>
      <c r="I671" s="12" t="str">
        <f>IF(A671="","",SUM(Lançamentos!C$9:C671))</f>
        <v/>
      </c>
      <c r="J671" s="13" t="str">
        <f>IF(Lançamentos!J671="","",Lançamentos!J671)</f>
        <v/>
      </c>
    </row>
    <row r="672" spans="1:10" ht="23.1" customHeight="1">
      <c r="A672" s="1" t="str">
        <f>IF(ISNUMBER(Lançamentos!A672),Lançamentos!A672,"")</f>
        <v/>
      </c>
      <c r="B672" s="1" t="str">
        <f>IF(Lançamentos!B672="","",Lançamentos!B672)</f>
        <v/>
      </c>
      <c r="C672" s="12" t="str">
        <f>IF(ISNUMBER(Lançamentos!C672),Lançamentos!C672,"")</f>
        <v/>
      </c>
      <c r="D672" s="10" t="str">
        <f>IF(A672="","",SUM(Lançamentos!D$9:D672))</f>
        <v/>
      </c>
      <c r="E672" s="1"/>
      <c r="F672" s="11" t="str">
        <f>IF(A672="","",SUM(Lançamentos!F$9:F672))</f>
        <v/>
      </c>
      <c r="G672" s="11" t="str">
        <f>IF(A672="","",SUM(Lançamentos!G$9:G672))</f>
        <v/>
      </c>
      <c r="H672" s="11" t="str">
        <f>IF(A672="","",SUM(Lançamentos!H$9:H672))</f>
        <v/>
      </c>
      <c r="I672" s="12" t="str">
        <f>IF(A672="","",SUM(Lançamentos!C$9:C672))</f>
        <v/>
      </c>
      <c r="J672" s="13" t="str">
        <f>IF(Lançamentos!J672="","",Lançamentos!J672)</f>
        <v/>
      </c>
    </row>
    <row r="673" spans="1:10" ht="23.1" customHeight="1">
      <c r="A673" s="1" t="str">
        <f>IF(ISNUMBER(Lançamentos!A673),Lançamentos!A673,"")</f>
        <v/>
      </c>
      <c r="B673" s="1" t="str">
        <f>IF(Lançamentos!B673="","",Lançamentos!B673)</f>
        <v/>
      </c>
      <c r="C673" s="12" t="str">
        <f>IF(ISNUMBER(Lançamentos!C673),Lançamentos!C673,"")</f>
        <v/>
      </c>
      <c r="D673" s="10" t="str">
        <f>IF(A673="","",SUM(Lançamentos!D$9:D673))</f>
        <v/>
      </c>
      <c r="E673" s="1"/>
      <c r="F673" s="11" t="str">
        <f>IF(A673="","",SUM(Lançamentos!F$9:F673))</f>
        <v/>
      </c>
      <c r="G673" s="11" t="str">
        <f>IF(A673="","",SUM(Lançamentos!G$9:G673))</f>
        <v/>
      </c>
      <c r="H673" s="11" t="str">
        <f>IF(A673="","",SUM(Lançamentos!H$9:H673))</f>
        <v/>
      </c>
      <c r="I673" s="12" t="str">
        <f>IF(A673="","",SUM(Lançamentos!C$9:C673))</f>
        <v/>
      </c>
      <c r="J673" s="13" t="str">
        <f>IF(Lançamentos!J673="","",Lançamentos!J673)</f>
        <v/>
      </c>
    </row>
    <row r="674" spans="1:10" ht="23.1" customHeight="1">
      <c r="A674" s="1" t="str">
        <f>IF(ISNUMBER(Lançamentos!A674),Lançamentos!A674,"")</f>
        <v/>
      </c>
      <c r="B674" s="1" t="str">
        <f>IF(Lançamentos!B674="","",Lançamentos!B674)</f>
        <v/>
      </c>
      <c r="C674" s="12" t="str">
        <f>IF(ISNUMBER(Lançamentos!C674),Lançamentos!C674,"")</f>
        <v/>
      </c>
      <c r="D674" s="10" t="str">
        <f>IF(A674="","",SUM(Lançamentos!D$9:D674))</f>
        <v/>
      </c>
      <c r="E674" s="1"/>
      <c r="F674" s="11" t="str">
        <f>IF(A674="","",SUM(Lançamentos!F$9:F674))</f>
        <v/>
      </c>
      <c r="G674" s="11" t="str">
        <f>IF(A674="","",SUM(Lançamentos!G$9:G674))</f>
        <v/>
      </c>
      <c r="H674" s="11" t="str">
        <f>IF(A674="","",SUM(Lançamentos!H$9:H674))</f>
        <v/>
      </c>
      <c r="I674" s="12" t="str">
        <f>IF(A674="","",SUM(Lançamentos!C$9:C674))</f>
        <v/>
      </c>
      <c r="J674" s="13" t="str">
        <f>IF(Lançamentos!J674="","",Lançamentos!J674)</f>
        <v/>
      </c>
    </row>
    <row r="675" spans="1:10" ht="23.1" customHeight="1">
      <c r="A675" s="1" t="str">
        <f>IF(ISNUMBER(Lançamentos!A675),Lançamentos!A675,"")</f>
        <v/>
      </c>
      <c r="B675" s="1" t="str">
        <f>IF(Lançamentos!B675="","",Lançamentos!B675)</f>
        <v/>
      </c>
      <c r="C675" s="12" t="str">
        <f>IF(ISNUMBER(Lançamentos!C675),Lançamentos!C675,"")</f>
        <v/>
      </c>
      <c r="D675" s="10" t="str">
        <f>IF(A675="","",SUM(Lançamentos!D$9:D675))</f>
        <v/>
      </c>
      <c r="E675" s="1"/>
      <c r="F675" s="11" t="str">
        <f>IF(A675="","",SUM(Lançamentos!F$9:F675))</f>
        <v/>
      </c>
      <c r="G675" s="11" t="str">
        <f>IF(A675="","",SUM(Lançamentos!G$9:G675))</f>
        <v/>
      </c>
      <c r="H675" s="11" t="str">
        <f>IF(A675="","",SUM(Lançamentos!H$9:H675))</f>
        <v/>
      </c>
      <c r="I675" s="12" t="str">
        <f>IF(A675="","",SUM(Lançamentos!C$9:C675))</f>
        <v/>
      </c>
      <c r="J675" s="13" t="str">
        <f>IF(Lançamentos!J675="","",Lançamentos!J675)</f>
        <v/>
      </c>
    </row>
    <row r="676" spans="1:10" ht="23.1" customHeight="1">
      <c r="A676" s="1" t="str">
        <f>IF(ISNUMBER(Lançamentos!A676),Lançamentos!A676,"")</f>
        <v/>
      </c>
      <c r="B676" s="1" t="str">
        <f>IF(Lançamentos!B676="","",Lançamentos!B676)</f>
        <v/>
      </c>
      <c r="C676" s="12" t="str">
        <f>IF(ISNUMBER(Lançamentos!C676),Lançamentos!C676,"")</f>
        <v/>
      </c>
      <c r="D676" s="10" t="str">
        <f>IF(A676="","",SUM(Lançamentos!D$9:D676))</f>
        <v/>
      </c>
      <c r="E676" s="1"/>
      <c r="F676" s="11" t="str">
        <f>IF(A676="","",SUM(Lançamentos!F$9:F676))</f>
        <v/>
      </c>
      <c r="G676" s="11" t="str">
        <f>IF(A676="","",SUM(Lançamentos!G$9:G676))</f>
        <v/>
      </c>
      <c r="H676" s="11" t="str">
        <f>IF(A676="","",SUM(Lançamentos!H$9:H676))</f>
        <v/>
      </c>
      <c r="I676" s="12" t="str">
        <f>IF(A676="","",SUM(Lançamentos!C$9:C676))</f>
        <v/>
      </c>
      <c r="J676" s="13" t="str">
        <f>IF(Lançamentos!J676="","",Lançamentos!J676)</f>
        <v/>
      </c>
    </row>
    <row r="677" spans="1:10" ht="23.1" customHeight="1">
      <c r="A677" s="1" t="str">
        <f>IF(ISNUMBER(Lançamentos!A677),Lançamentos!A677,"")</f>
        <v/>
      </c>
      <c r="B677" s="1" t="str">
        <f>IF(Lançamentos!B677="","",Lançamentos!B677)</f>
        <v/>
      </c>
      <c r="C677" s="12" t="str">
        <f>IF(ISNUMBER(Lançamentos!C677),Lançamentos!C677,"")</f>
        <v/>
      </c>
      <c r="D677" s="10" t="str">
        <f>IF(A677="","",SUM(Lançamentos!D$9:D677))</f>
        <v/>
      </c>
      <c r="E677" s="1"/>
      <c r="F677" s="11" t="str">
        <f>IF(A677="","",SUM(Lançamentos!F$9:F677))</f>
        <v/>
      </c>
      <c r="G677" s="11" t="str">
        <f>IF(A677="","",SUM(Lançamentos!G$9:G677))</f>
        <v/>
      </c>
      <c r="H677" s="11" t="str">
        <f>IF(A677="","",SUM(Lançamentos!H$9:H677))</f>
        <v/>
      </c>
      <c r="I677" s="12" t="str">
        <f>IF(A677="","",SUM(Lançamentos!C$9:C677))</f>
        <v/>
      </c>
      <c r="J677" s="13" t="str">
        <f>IF(Lançamentos!J677="","",Lançamentos!J677)</f>
        <v/>
      </c>
    </row>
    <row r="678" spans="1:10" ht="23.1" customHeight="1">
      <c r="A678" s="1" t="str">
        <f>IF(ISNUMBER(Lançamentos!A678),Lançamentos!A678,"")</f>
        <v/>
      </c>
      <c r="B678" s="1" t="str">
        <f>IF(Lançamentos!B678="","",Lançamentos!B678)</f>
        <v/>
      </c>
      <c r="C678" s="12" t="str">
        <f>IF(ISNUMBER(Lançamentos!C678),Lançamentos!C678,"")</f>
        <v/>
      </c>
      <c r="D678" s="10" t="str">
        <f>IF(A678="","",SUM(Lançamentos!D$9:D678))</f>
        <v/>
      </c>
      <c r="E678" s="1"/>
      <c r="F678" s="11" t="str">
        <f>IF(A678="","",SUM(Lançamentos!F$9:F678))</f>
        <v/>
      </c>
      <c r="G678" s="11" t="str">
        <f>IF(A678="","",SUM(Lançamentos!G$9:G678))</f>
        <v/>
      </c>
      <c r="H678" s="11" t="str">
        <f>IF(A678="","",SUM(Lançamentos!H$9:H678))</f>
        <v/>
      </c>
      <c r="I678" s="12" t="str">
        <f>IF(A678="","",SUM(Lançamentos!C$9:C678))</f>
        <v/>
      </c>
      <c r="J678" s="13" t="str">
        <f>IF(Lançamentos!J678="","",Lançamentos!J678)</f>
        <v/>
      </c>
    </row>
    <row r="679" spans="1:10" ht="23.1" customHeight="1">
      <c r="A679" s="1" t="str">
        <f>IF(ISNUMBER(Lançamentos!A679),Lançamentos!A679,"")</f>
        <v/>
      </c>
      <c r="B679" s="1" t="str">
        <f>IF(Lançamentos!B679="","",Lançamentos!B679)</f>
        <v/>
      </c>
      <c r="C679" s="12" t="str">
        <f>IF(ISNUMBER(Lançamentos!C679),Lançamentos!C679,"")</f>
        <v/>
      </c>
      <c r="D679" s="10" t="str">
        <f>IF(A679="","",SUM(Lançamentos!D$9:D679))</f>
        <v/>
      </c>
      <c r="E679" s="1"/>
      <c r="F679" s="11" t="str">
        <f>IF(A679="","",SUM(Lançamentos!F$9:F679))</f>
        <v/>
      </c>
      <c r="G679" s="11" t="str">
        <f>IF(A679="","",SUM(Lançamentos!G$9:G679))</f>
        <v/>
      </c>
      <c r="H679" s="11" t="str">
        <f>IF(A679="","",SUM(Lançamentos!H$9:H679))</f>
        <v/>
      </c>
      <c r="I679" s="12" t="str">
        <f>IF(A679="","",SUM(Lançamentos!C$9:C679))</f>
        <v/>
      </c>
      <c r="J679" s="13" t="str">
        <f>IF(Lançamentos!J679="","",Lançamentos!J679)</f>
        <v/>
      </c>
    </row>
    <row r="680" spans="1:10" ht="23.1" customHeight="1">
      <c r="A680" s="1" t="str">
        <f>IF(ISNUMBER(Lançamentos!A680),Lançamentos!A680,"")</f>
        <v/>
      </c>
      <c r="B680" s="1" t="str">
        <f>IF(Lançamentos!B680="","",Lançamentos!B680)</f>
        <v/>
      </c>
      <c r="C680" s="12" t="str">
        <f>IF(ISNUMBER(Lançamentos!C680),Lançamentos!C680,"")</f>
        <v/>
      </c>
      <c r="D680" s="10" t="str">
        <f>IF(A680="","",SUM(Lançamentos!D$9:D680))</f>
        <v/>
      </c>
      <c r="E680" s="1"/>
      <c r="F680" s="11" t="str">
        <f>IF(A680="","",SUM(Lançamentos!F$9:F680))</f>
        <v/>
      </c>
      <c r="G680" s="11" t="str">
        <f>IF(A680="","",SUM(Lançamentos!G$9:G680))</f>
        <v/>
      </c>
      <c r="H680" s="11" t="str">
        <f>IF(A680="","",SUM(Lançamentos!H$9:H680))</f>
        <v/>
      </c>
      <c r="I680" s="12" t="str">
        <f>IF(A680="","",SUM(Lançamentos!C$9:C680))</f>
        <v/>
      </c>
      <c r="J680" s="13" t="str">
        <f>IF(Lançamentos!J680="","",Lançamentos!J680)</f>
        <v/>
      </c>
    </row>
    <row r="681" spans="1:10" ht="23.1" customHeight="1">
      <c r="A681" s="1" t="str">
        <f>IF(ISNUMBER(Lançamentos!A681),Lançamentos!A681,"")</f>
        <v/>
      </c>
      <c r="B681" s="1" t="str">
        <f>IF(Lançamentos!B681="","",Lançamentos!B681)</f>
        <v/>
      </c>
      <c r="C681" s="12" t="str">
        <f>IF(ISNUMBER(Lançamentos!C681),Lançamentos!C681,"")</f>
        <v/>
      </c>
      <c r="D681" s="10" t="str">
        <f>IF(A681="","",SUM(Lançamentos!D$9:D681))</f>
        <v/>
      </c>
      <c r="E681" s="1"/>
      <c r="F681" s="11" t="str">
        <f>IF(A681="","",SUM(Lançamentos!F$9:F681))</f>
        <v/>
      </c>
      <c r="G681" s="11" t="str">
        <f>IF(A681="","",SUM(Lançamentos!G$9:G681))</f>
        <v/>
      </c>
      <c r="H681" s="11" t="str">
        <f>IF(A681="","",SUM(Lançamentos!H$9:H681))</f>
        <v/>
      </c>
      <c r="I681" s="12" t="str">
        <f>IF(A681="","",SUM(Lançamentos!C$9:C681))</f>
        <v/>
      </c>
      <c r="J681" s="13" t="str">
        <f>IF(Lançamentos!J681="","",Lançamentos!J681)</f>
        <v/>
      </c>
    </row>
    <row r="682" spans="1:10" ht="23.1" customHeight="1">
      <c r="A682" s="1" t="str">
        <f>IF(ISNUMBER(Lançamentos!A682),Lançamentos!A682,"")</f>
        <v/>
      </c>
      <c r="B682" s="1" t="str">
        <f>IF(Lançamentos!B682="","",Lançamentos!B682)</f>
        <v/>
      </c>
      <c r="C682" s="12" t="str">
        <f>IF(ISNUMBER(Lançamentos!C682),Lançamentos!C682,"")</f>
        <v/>
      </c>
      <c r="D682" s="10" t="str">
        <f>IF(A682="","",SUM(Lançamentos!D$9:D682))</f>
        <v/>
      </c>
      <c r="E682" s="1"/>
      <c r="F682" s="11" t="str">
        <f>IF(A682="","",SUM(Lançamentos!F$9:F682))</f>
        <v/>
      </c>
      <c r="G682" s="11" t="str">
        <f>IF(A682="","",SUM(Lançamentos!G$9:G682))</f>
        <v/>
      </c>
      <c r="H682" s="11" t="str">
        <f>IF(A682="","",SUM(Lançamentos!H$9:H682))</f>
        <v/>
      </c>
      <c r="I682" s="12" t="str">
        <f>IF(A682="","",SUM(Lançamentos!C$9:C682))</f>
        <v/>
      </c>
      <c r="J682" s="13" t="str">
        <f>IF(Lançamentos!J682="","",Lançamentos!J682)</f>
        <v/>
      </c>
    </row>
    <row r="683" spans="1:10" ht="23.1" customHeight="1">
      <c r="A683" s="1" t="str">
        <f>IF(ISNUMBER(Lançamentos!A683),Lançamentos!A683,"")</f>
        <v/>
      </c>
      <c r="B683" s="1" t="str">
        <f>IF(Lançamentos!B683="","",Lançamentos!B683)</f>
        <v/>
      </c>
      <c r="C683" s="12" t="str">
        <f>IF(ISNUMBER(Lançamentos!C683),Lançamentos!C683,"")</f>
        <v/>
      </c>
      <c r="D683" s="10" t="str">
        <f>IF(A683="","",SUM(Lançamentos!D$9:D683))</f>
        <v/>
      </c>
      <c r="E683" s="1"/>
      <c r="F683" s="11" t="str">
        <f>IF(A683="","",SUM(Lançamentos!F$9:F683))</f>
        <v/>
      </c>
      <c r="G683" s="11" t="str">
        <f>IF(A683="","",SUM(Lançamentos!G$9:G683))</f>
        <v/>
      </c>
      <c r="H683" s="11" t="str">
        <f>IF(A683="","",SUM(Lançamentos!H$9:H683))</f>
        <v/>
      </c>
      <c r="I683" s="12" t="str">
        <f>IF(A683="","",SUM(Lançamentos!C$9:C683))</f>
        <v/>
      </c>
      <c r="J683" s="13" t="str">
        <f>IF(Lançamentos!J683="","",Lançamentos!J683)</f>
        <v/>
      </c>
    </row>
    <row r="684" spans="1:10" ht="23.1" customHeight="1">
      <c r="A684" s="1" t="str">
        <f>IF(ISNUMBER(Lançamentos!A684),Lançamentos!A684,"")</f>
        <v/>
      </c>
      <c r="B684" s="1" t="str">
        <f>IF(Lançamentos!B684="","",Lançamentos!B684)</f>
        <v/>
      </c>
      <c r="C684" s="12" t="str">
        <f>IF(ISNUMBER(Lançamentos!C684),Lançamentos!C684,"")</f>
        <v/>
      </c>
      <c r="D684" s="10" t="str">
        <f>IF(A684="","",SUM(Lançamentos!D$9:D684))</f>
        <v/>
      </c>
      <c r="E684" s="1"/>
      <c r="F684" s="11" t="str">
        <f>IF(A684="","",SUM(Lançamentos!F$9:F684))</f>
        <v/>
      </c>
      <c r="G684" s="11" t="str">
        <f>IF(A684="","",SUM(Lançamentos!G$9:G684))</f>
        <v/>
      </c>
      <c r="H684" s="11" t="str">
        <f>IF(A684="","",SUM(Lançamentos!H$9:H684))</f>
        <v/>
      </c>
      <c r="I684" s="12" t="str">
        <f>IF(A684="","",SUM(Lançamentos!C$9:C684))</f>
        <v/>
      </c>
      <c r="J684" s="13" t="str">
        <f>IF(Lançamentos!J684="","",Lançamentos!J684)</f>
        <v/>
      </c>
    </row>
    <row r="685" spans="1:10" ht="23.1" customHeight="1">
      <c r="A685" s="1" t="str">
        <f>IF(ISNUMBER(Lançamentos!A685),Lançamentos!A685,"")</f>
        <v/>
      </c>
      <c r="B685" s="1" t="str">
        <f>IF(Lançamentos!B685="","",Lançamentos!B685)</f>
        <v/>
      </c>
      <c r="C685" s="12" t="str">
        <f>IF(ISNUMBER(Lançamentos!C685),Lançamentos!C685,"")</f>
        <v/>
      </c>
      <c r="D685" s="10" t="str">
        <f>IF(A685="","",SUM(Lançamentos!D$9:D685))</f>
        <v/>
      </c>
      <c r="E685" s="1"/>
      <c r="F685" s="11" t="str">
        <f>IF(A685="","",SUM(Lançamentos!F$9:F685))</f>
        <v/>
      </c>
      <c r="G685" s="11" t="str">
        <f>IF(A685="","",SUM(Lançamentos!G$9:G685))</f>
        <v/>
      </c>
      <c r="H685" s="11" t="str">
        <f>IF(A685="","",SUM(Lançamentos!H$9:H685))</f>
        <v/>
      </c>
      <c r="I685" s="12" t="str">
        <f>IF(A685="","",SUM(Lançamentos!C$9:C685))</f>
        <v/>
      </c>
      <c r="J685" s="13" t="str">
        <f>IF(Lançamentos!J685="","",Lançamentos!J685)</f>
        <v/>
      </c>
    </row>
    <row r="686" spans="1:10" ht="23.1" customHeight="1">
      <c r="A686" s="1" t="str">
        <f>IF(ISNUMBER(Lançamentos!A686),Lançamentos!A686,"")</f>
        <v/>
      </c>
      <c r="B686" s="1" t="str">
        <f>IF(Lançamentos!B686="","",Lançamentos!B686)</f>
        <v/>
      </c>
      <c r="C686" s="12" t="str">
        <f>IF(ISNUMBER(Lançamentos!C686),Lançamentos!C686,"")</f>
        <v/>
      </c>
      <c r="D686" s="10" t="str">
        <f>IF(A686="","",SUM(Lançamentos!D$9:D686))</f>
        <v/>
      </c>
      <c r="E686" s="1"/>
      <c r="F686" s="11" t="str">
        <f>IF(A686="","",SUM(Lançamentos!F$9:F686))</f>
        <v/>
      </c>
      <c r="G686" s="11" t="str">
        <f>IF(A686="","",SUM(Lançamentos!G$9:G686))</f>
        <v/>
      </c>
      <c r="H686" s="11" t="str">
        <f>IF(A686="","",SUM(Lançamentos!H$9:H686))</f>
        <v/>
      </c>
      <c r="I686" s="12" t="str">
        <f>IF(A686="","",SUM(Lançamentos!C$9:C686))</f>
        <v/>
      </c>
      <c r="J686" s="13" t="str">
        <f>IF(Lançamentos!J686="","",Lançamentos!J686)</f>
        <v/>
      </c>
    </row>
    <row r="687" spans="1:10" ht="23.1" customHeight="1">
      <c r="A687" s="1" t="str">
        <f>IF(ISNUMBER(Lançamentos!A687),Lançamentos!A687,"")</f>
        <v/>
      </c>
      <c r="B687" s="1" t="str">
        <f>IF(Lançamentos!B687="","",Lançamentos!B687)</f>
        <v/>
      </c>
      <c r="C687" s="12" t="str">
        <f>IF(ISNUMBER(Lançamentos!C687),Lançamentos!C687,"")</f>
        <v/>
      </c>
      <c r="D687" s="10" t="str">
        <f>IF(A687="","",SUM(Lançamentos!D$9:D687))</f>
        <v/>
      </c>
      <c r="E687" s="1"/>
      <c r="F687" s="11" t="str">
        <f>IF(A687="","",SUM(Lançamentos!F$9:F687))</f>
        <v/>
      </c>
      <c r="G687" s="11" t="str">
        <f>IF(A687="","",SUM(Lançamentos!G$9:G687))</f>
        <v/>
      </c>
      <c r="H687" s="11" t="str">
        <f>IF(A687="","",SUM(Lançamentos!H$9:H687))</f>
        <v/>
      </c>
      <c r="I687" s="12" t="str">
        <f>IF(A687="","",SUM(Lançamentos!C$9:C687))</f>
        <v/>
      </c>
      <c r="J687" s="13" t="str">
        <f>IF(Lançamentos!J687="","",Lançamentos!J687)</f>
        <v/>
      </c>
    </row>
    <row r="688" spans="1:10" ht="23.1" customHeight="1">
      <c r="A688" s="1" t="str">
        <f>IF(ISNUMBER(Lançamentos!A688),Lançamentos!A688,"")</f>
        <v/>
      </c>
      <c r="B688" s="1" t="str">
        <f>IF(Lançamentos!B688="","",Lançamentos!B688)</f>
        <v/>
      </c>
      <c r="C688" s="12" t="str">
        <f>IF(ISNUMBER(Lançamentos!C688),Lançamentos!C688,"")</f>
        <v/>
      </c>
      <c r="D688" s="10" t="str">
        <f>IF(A688="","",SUM(Lançamentos!D$9:D688))</f>
        <v/>
      </c>
      <c r="E688" s="1"/>
      <c r="F688" s="11" t="str">
        <f>IF(A688="","",SUM(Lançamentos!F$9:F688))</f>
        <v/>
      </c>
      <c r="G688" s="11" t="str">
        <f>IF(A688="","",SUM(Lançamentos!G$9:G688))</f>
        <v/>
      </c>
      <c r="H688" s="11" t="str">
        <f>IF(A688="","",SUM(Lançamentos!H$9:H688))</f>
        <v/>
      </c>
      <c r="I688" s="12" t="str">
        <f>IF(A688="","",SUM(Lançamentos!C$9:C688))</f>
        <v/>
      </c>
      <c r="J688" s="13" t="str">
        <f>IF(Lançamentos!J688="","",Lançamentos!J688)</f>
        <v/>
      </c>
    </row>
    <row r="689" spans="1:10" ht="23.1" customHeight="1">
      <c r="A689" s="1" t="str">
        <f>IF(ISNUMBER(Lançamentos!A689),Lançamentos!A689,"")</f>
        <v/>
      </c>
      <c r="B689" s="1" t="str">
        <f>IF(Lançamentos!B689="","",Lançamentos!B689)</f>
        <v/>
      </c>
      <c r="C689" s="12" t="str">
        <f>IF(ISNUMBER(Lançamentos!C689),Lançamentos!C689,"")</f>
        <v/>
      </c>
      <c r="D689" s="10" t="str">
        <f>IF(A689="","",SUM(Lançamentos!D$9:D689))</f>
        <v/>
      </c>
      <c r="E689" s="1"/>
      <c r="F689" s="11" t="str">
        <f>IF(A689="","",SUM(Lançamentos!F$9:F689))</f>
        <v/>
      </c>
      <c r="G689" s="11" t="str">
        <f>IF(A689="","",SUM(Lançamentos!G$9:G689))</f>
        <v/>
      </c>
      <c r="H689" s="11" t="str">
        <f>IF(A689="","",SUM(Lançamentos!H$9:H689))</f>
        <v/>
      </c>
      <c r="I689" s="12" t="str">
        <f>IF(A689="","",SUM(Lançamentos!C$9:C689))</f>
        <v/>
      </c>
      <c r="J689" s="13" t="str">
        <f>IF(Lançamentos!J689="","",Lançamentos!J689)</f>
        <v/>
      </c>
    </row>
    <row r="690" spans="1:10" ht="23.1" customHeight="1">
      <c r="A690" s="1" t="str">
        <f>IF(ISNUMBER(Lançamentos!A690),Lançamentos!A690,"")</f>
        <v/>
      </c>
      <c r="B690" s="1" t="str">
        <f>IF(Lançamentos!B690="","",Lançamentos!B690)</f>
        <v/>
      </c>
      <c r="C690" s="12" t="str">
        <f>IF(ISNUMBER(Lançamentos!C690),Lançamentos!C690,"")</f>
        <v/>
      </c>
      <c r="D690" s="10" t="str">
        <f>IF(A690="","",SUM(Lançamentos!D$9:D690))</f>
        <v/>
      </c>
      <c r="E690" s="1"/>
      <c r="F690" s="11" t="str">
        <f>IF(A690="","",SUM(Lançamentos!F$9:F690))</f>
        <v/>
      </c>
      <c r="G690" s="11" t="str">
        <f>IF(A690="","",SUM(Lançamentos!G$9:G690))</f>
        <v/>
      </c>
      <c r="H690" s="11" t="str">
        <f>IF(A690="","",SUM(Lançamentos!H$9:H690))</f>
        <v/>
      </c>
      <c r="I690" s="12" t="str">
        <f>IF(A690="","",SUM(Lançamentos!C$9:C690))</f>
        <v/>
      </c>
      <c r="J690" s="13" t="str">
        <f>IF(Lançamentos!J690="","",Lançamentos!J690)</f>
        <v/>
      </c>
    </row>
    <row r="691" spans="1:10" ht="23.1" customHeight="1">
      <c r="A691" s="1" t="str">
        <f>IF(ISNUMBER(Lançamentos!A691),Lançamentos!A691,"")</f>
        <v/>
      </c>
      <c r="B691" s="1" t="str">
        <f>IF(Lançamentos!B691="","",Lançamentos!B691)</f>
        <v/>
      </c>
      <c r="C691" s="12" t="str">
        <f>IF(ISNUMBER(Lançamentos!C691),Lançamentos!C691,"")</f>
        <v/>
      </c>
      <c r="D691" s="10" t="str">
        <f>IF(A691="","",SUM(Lançamentos!D$9:D691))</f>
        <v/>
      </c>
      <c r="E691" s="1"/>
      <c r="F691" s="11" t="str">
        <f>IF(A691="","",SUM(Lançamentos!F$9:F691))</f>
        <v/>
      </c>
      <c r="G691" s="11" t="str">
        <f>IF(A691="","",SUM(Lançamentos!G$9:G691))</f>
        <v/>
      </c>
      <c r="H691" s="11" t="str">
        <f>IF(A691="","",SUM(Lançamentos!H$9:H691))</f>
        <v/>
      </c>
      <c r="I691" s="12" t="str">
        <f>IF(A691="","",SUM(Lançamentos!C$9:C691))</f>
        <v/>
      </c>
      <c r="J691" s="13" t="str">
        <f>IF(Lançamentos!J691="","",Lançamentos!J691)</f>
        <v/>
      </c>
    </row>
    <row r="692" spans="1:10" ht="23.1" customHeight="1">
      <c r="A692" s="1" t="str">
        <f>IF(ISNUMBER(Lançamentos!A692),Lançamentos!A692,"")</f>
        <v/>
      </c>
      <c r="B692" s="1" t="str">
        <f>IF(Lançamentos!B692="","",Lançamentos!B692)</f>
        <v/>
      </c>
      <c r="C692" s="12" t="str">
        <f>IF(ISNUMBER(Lançamentos!C692),Lançamentos!C692,"")</f>
        <v/>
      </c>
      <c r="D692" s="10" t="str">
        <f>IF(A692="","",SUM(Lançamentos!D$9:D692))</f>
        <v/>
      </c>
      <c r="E692" s="1"/>
      <c r="F692" s="11" t="str">
        <f>IF(A692="","",SUM(Lançamentos!F$9:F692))</f>
        <v/>
      </c>
      <c r="G692" s="11" t="str">
        <f>IF(A692="","",SUM(Lançamentos!G$9:G692))</f>
        <v/>
      </c>
      <c r="H692" s="11" t="str">
        <f>IF(A692="","",SUM(Lançamentos!H$9:H692))</f>
        <v/>
      </c>
      <c r="I692" s="12" t="str">
        <f>IF(A692="","",SUM(Lançamentos!C$9:C692))</f>
        <v/>
      </c>
      <c r="J692" s="13" t="str">
        <f>IF(Lançamentos!J692="","",Lançamentos!J692)</f>
        <v/>
      </c>
    </row>
    <row r="693" spans="1:10" ht="23.1" customHeight="1">
      <c r="A693" s="1" t="str">
        <f>IF(ISNUMBER(Lançamentos!A693),Lançamentos!A693,"")</f>
        <v/>
      </c>
      <c r="B693" s="1" t="str">
        <f>IF(Lançamentos!B693="","",Lançamentos!B693)</f>
        <v/>
      </c>
      <c r="C693" s="12" t="str">
        <f>IF(ISNUMBER(Lançamentos!C693),Lançamentos!C693,"")</f>
        <v/>
      </c>
      <c r="D693" s="10" t="str">
        <f>IF(A693="","",SUM(Lançamentos!D$9:D693))</f>
        <v/>
      </c>
      <c r="E693" s="1"/>
      <c r="F693" s="11" t="str">
        <f>IF(A693="","",SUM(Lançamentos!F$9:F693))</f>
        <v/>
      </c>
      <c r="G693" s="11" t="str">
        <f>IF(A693="","",SUM(Lançamentos!G$9:G693))</f>
        <v/>
      </c>
      <c r="H693" s="11" t="str">
        <f>IF(A693="","",SUM(Lançamentos!H$9:H693))</f>
        <v/>
      </c>
      <c r="I693" s="12" t="str">
        <f>IF(A693="","",SUM(Lançamentos!C$9:C693))</f>
        <v/>
      </c>
      <c r="J693" s="13" t="str">
        <f>IF(Lançamentos!J693="","",Lançamentos!J693)</f>
        <v/>
      </c>
    </row>
    <row r="694" spans="1:10" ht="23.1" customHeight="1">
      <c r="A694" s="1" t="str">
        <f>IF(ISNUMBER(Lançamentos!A694),Lançamentos!A694,"")</f>
        <v/>
      </c>
      <c r="B694" s="1" t="str">
        <f>IF(Lançamentos!B694="","",Lançamentos!B694)</f>
        <v/>
      </c>
      <c r="C694" s="12" t="str">
        <f>IF(ISNUMBER(Lançamentos!C694),Lançamentos!C694,"")</f>
        <v/>
      </c>
      <c r="D694" s="10" t="str">
        <f>IF(A694="","",SUM(Lançamentos!D$9:D694))</f>
        <v/>
      </c>
      <c r="E694" s="1"/>
      <c r="F694" s="11" t="str">
        <f>IF(A694="","",SUM(Lançamentos!F$9:F694))</f>
        <v/>
      </c>
      <c r="G694" s="11" t="str">
        <f>IF(A694="","",SUM(Lançamentos!G$9:G694))</f>
        <v/>
      </c>
      <c r="H694" s="11" t="str">
        <f>IF(A694="","",SUM(Lançamentos!H$9:H694))</f>
        <v/>
      </c>
      <c r="I694" s="12" t="str">
        <f>IF(A694="","",SUM(Lançamentos!C$9:C694))</f>
        <v/>
      </c>
      <c r="J694" s="13" t="str">
        <f>IF(Lançamentos!J694="","",Lançamentos!J694)</f>
        <v/>
      </c>
    </row>
    <row r="695" spans="1:10" ht="23.1" customHeight="1">
      <c r="A695" s="1" t="str">
        <f>IF(ISNUMBER(Lançamentos!A695),Lançamentos!A695,"")</f>
        <v/>
      </c>
      <c r="B695" s="1" t="str">
        <f>IF(Lançamentos!B695="","",Lançamentos!B695)</f>
        <v/>
      </c>
      <c r="C695" s="12" t="str">
        <f>IF(ISNUMBER(Lançamentos!C695),Lançamentos!C695,"")</f>
        <v/>
      </c>
      <c r="D695" s="10" t="str">
        <f>IF(A695="","",SUM(Lançamentos!D$9:D695))</f>
        <v/>
      </c>
      <c r="E695" s="1"/>
      <c r="F695" s="11" t="str">
        <f>IF(A695="","",SUM(Lançamentos!F$9:F695))</f>
        <v/>
      </c>
      <c r="G695" s="11" t="str">
        <f>IF(A695="","",SUM(Lançamentos!G$9:G695))</f>
        <v/>
      </c>
      <c r="H695" s="11" t="str">
        <f>IF(A695="","",SUM(Lançamentos!H$9:H695))</f>
        <v/>
      </c>
      <c r="I695" s="12" t="str">
        <f>IF(A695="","",SUM(Lançamentos!C$9:C695))</f>
        <v/>
      </c>
      <c r="J695" s="13" t="str">
        <f>IF(Lançamentos!J695="","",Lançamentos!J695)</f>
        <v/>
      </c>
    </row>
    <row r="696" spans="1:10" ht="23.1" customHeight="1">
      <c r="A696" s="1" t="str">
        <f>IF(ISNUMBER(Lançamentos!A696),Lançamentos!A696,"")</f>
        <v/>
      </c>
      <c r="B696" s="1" t="str">
        <f>IF(Lançamentos!B696="","",Lançamentos!B696)</f>
        <v/>
      </c>
      <c r="C696" s="12" t="str">
        <f>IF(ISNUMBER(Lançamentos!C696),Lançamentos!C696,"")</f>
        <v/>
      </c>
      <c r="D696" s="10" t="str">
        <f>IF(A696="","",SUM(Lançamentos!D$9:D696))</f>
        <v/>
      </c>
      <c r="E696" s="1"/>
      <c r="F696" s="11" t="str">
        <f>IF(A696="","",SUM(Lançamentos!F$9:F696))</f>
        <v/>
      </c>
      <c r="G696" s="11" t="str">
        <f>IF(A696="","",SUM(Lançamentos!G$9:G696))</f>
        <v/>
      </c>
      <c r="H696" s="11" t="str">
        <f>IF(A696="","",SUM(Lançamentos!H$9:H696))</f>
        <v/>
      </c>
      <c r="I696" s="12" t="str">
        <f>IF(A696="","",SUM(Lançamentos!C$9:C696))</f>
        <v/>
      </c>
      <c r="J696" s="13" t="str">
        <f>IF(Lançamentos!J696="","",Lançamentos!J696)</f>
        <v/>
      </c>
    </row>
    <row r="697" spans="1:10" ht="23.1" customHeight="1">
      <c r="A697" s="1" t="str">
        <f>IF(ISNUMBER(Lançamentos!A697),Lançamentos!A697,"")</f>
        <v/>
      </c>
      <c r="B697" s="1" t="str">
        <f>IF(Lançamentos!B697="","",Lançamentos!B697)</f>
        <v/>
      </c>
      <c r="C697" s="12" t="str">
        <f>IF(ISNUMBER(Lançamentos!C697),Lançamentos!C697,"")</f>
        <v/>
      </c>
      <c r="D697" s="10" t="str">
        <f>IF(A697="","",SUM(Lançamentos!D$9:D697))</f>
        <v/>
      </c>
      <c r="E697" s="1"/>
      <c r="F697" s="11" t="str">
        <f>IF(A697="","",SUM(Lançamentos!F$9:F697))</f>
        <v/>
      </c>
      <c r="G697" s="11" t="str">
        <f>IF(A697="","",SUM(Lançamentos!G$9:G697))</f>
        <v/>
      </c>
      <c r="H697" s="11" t="str">
        <f>IF(A697="","",SUM(Lançamentos!H$9:H697))</f>
        <v/>
      </c>
      <c r="I697" s="12" t="str">
        <f>IF(A697="","",SUM(Lançamentos!C$9:C697))</f>
        <v/>
      </c>
      <c r="J697" s="13" t="str">
        <f>IF(Lançamentos!J697="","",Lançamentos!J697)</f>
        <v/>
      </c>
    </row>
    <row r="698" spans="1:10" ht="23.1" customHeight="1">
      <c r="A698" s="1" t="str">
        <f>IF(ISNUMBER(Lançamentos!A698),Lançamentos!A698,"")</f>
        <v/>
      </c>
      <c r="B698" s="1" t="str">
        <f>IF(Lançamentos!B698="","",Lançamentos!B698)</f>
        <v/>
      </c>
      <c r="C698" s="12" t="str">
        <f>IF(ISNUMBER(Lançamentos!C698),Lançamentos!C698,"")</f>
        <v/>
      </c>
      <c r="D698" s="10" t="str">
        <f>IF(A698="","",SUM(Lançamentos!D$9:D698))</f>
        <v/>
      </c>
      <c r="E698" s="1"/>
      <c r="F698" s="11" t="str">
        <f>IF(A698="","",SUM(Lançamentos!F$9:F698))</f>
        <v/>
      </c>
      <c r="G698" s="11" t="str">
        <f>IF(A698="","",SUM(Lançamentos!G$9:G698))</f>
        <v/>
      </c>
      <c r="H698" s="11" t="str">
        <f>IF(A698="","",SUM(Lançamentos!H$9:H698))</f>
        <v/>
      </c>
      <c r="I698" s="12" t="str">
        <f>IF(A698="","",SUM(Lançamentos!C$9:C698))</f>
        <v/>
      </c>
      <c r="J698" s="13" t="str">
        <f>IF(Lançamentos!J698="","",Lançamentos!J698)</f>
        <v/>
      </c>
    </row>
    <row r="699" spans="1:10" ht="23.1" customHeight="1">
      <c r="A699" s="1" t="str">
        <f>IF(ISNUMBER(Lançamentos!A699),Lançamentos!A699,"")</f>
        <v/>
      </c>
      <c r="B699" s="1" t="str">
        <f>IF(Lançamentos!B699="","",Lançamentos!B699)</f>
        <v/>
      </c>
      <c r="C699" s="12" t="str">
        <f>IF(ISNUMBER(Lançamentos!C699),Lançamentos!C699,"")</f>
        <v/>
      </c>
      <c r="D699" s="10" t="str">
        <f>IF(A699="","",SUM(Lançamentos!D$9:D699))</f>
        <v/>
      </c>
      <c r="E699" s="1"/>
      <c r="F699" s="11" t="str">
        <f>IF(A699="","",SUM(Lançamentos!F$9:F699))</f>
        <v/>
      </c>
      <c r="G699" s="11" t="str">
        <f>IF(A699="","",SUM(Lançamentos!G$9:G699))</f>
        <v/>
      </c>
      <c r="H699" s="11" t="str">
        <f>IF(A699="","",SUM(Lançamentos!H$9:H699))</f>
        <v/>
      </c>
      <c r="I699" s="12" t="str">
        <f>IF(A699="","",SUM(Lançamentos!C$9:C699))</f>
        <v/>
      </c>
      <c r="J699" s="13" t="str">
        <f>IF(Lançamentos!J699="","",Lançamentos!J699)</f>
        <v/>
      </c>
    </row>
    <row r="700" spans="1:10" ht="23.1" customHeight="1">
      <c r="A700" s="1" t="str">
        <f>IF(ISNUMBER(Lançamentos!A700),Lançamentos!A700,"")</f>
        <v/>
      </c>
      <c r="B700" s="1" t="str">
        <f>IF(Lançamentos!B700="","",Lançamentos!B700)</f>
        <v/>
      </c>
      <c r="C700" s="12" t="str">
        <f>IF(ISNUMBER(Lançamentos!C700),Lançamentos!C700,"")</f>
        <v/>
      </c>
      <c r="D700" s="10" t="str">
        <f>IF(A700="","",SUM(Lançamentos!D$9:D700))</f>
        <v/>
      </c>
      <c r="E700" s="1"/>
      <c r="F700" s="11" t="str">
        <f>IF(A700="","",SUM(Lançamentos!F$9:F700))</f>
        <v/>
      </c>
      <c r="G700" s="11" t="str">
        <f>IF(A700="","",SUM(Lançamentos!G$9:G700))</f>
        <v/>
      </c>
      <c r="H700" s="11" t="str">
        <f>IF(A700="","",SUM(Lançamentos!H$9:H700))</f>
        <v/>
      </c>
      <c r="I700" s="12" t="str">
        <f>IF(A700="","",SUM(Lançamentos!C$9:C700))</f>
        <v/>
      </c>
      <c r="J700" s="13" t="str">
        <f>IF(Lançamentos!J700="","",Lançamentos!J700)</f>
        <v/>
      </c>
    </row>
    <row r="701" spans="1:10" ht="23.1" customHeight="1">
      <c r="A701" s="1" t="str">
        <f>IF(ISNUMBER(Lançamentos!A701),Lançamentos!A701,"")</f>
        <v/>
      </c>
      <c r="B701" s="1" t="str">
        <f>IF(Lançamentos!B701="","",Lançamentos!B701)</f>
        <v/>
      </c>
      <c r="C701" s="12" t="str">
        <f>IF(ISNUMBER(Lançamentos!C701),Lançamentos!C701,"")</f>
        <v/>
      </c>
      <c r="D701" s="10" t="str">
        <f>IF(A701="","",SUM(Lançamentos!D$9:D701))</f>
        <v/>
      </c>
      <c r="E701" s="1"/>
      <c r="F701" s="11" t="str">
        <f>IF(A701="","",SUM(Lançamentos!F$9:F701))</f>
        <v/>
      </c>
      <c r="G701" s="11" t="str">
        <f>IF(A701="","",SUM(Lançamentos!G$9:G701))</f>
        <v/>
      </c>
      <c r="H701" s="11" t="str">
        <f>IF(A701="","",SUM(Lançamentos!H$9:H701))</f>
        <v/>
      </c>
      <c r="I701" s="12" t="str">
        <f>IF(A701="","",SUM(Lançamentos!C$9:C701))</f>
        <v/>
      </c>
      <c r="J701" s="13" t="str">
        <f>IF(Lançamentos!J701="","",Lançamentos!J701)</f>
        <v/>
      </c>
    </row>
    <row r="702" spans="1:10" ht="23.1" customHeight="1">
      <c r="A702" s="1" t="str">
        <f>IF(ISNUMBER(Lançamentos!A702),Lançamentos!A702,"")</f>
        <v/>
      </c>
      <c r="B702" s="1" t="str">
        <f>IF(Lançamentos!B702="","",Lançamentos!B702)</f>
        <v/>
      </c>
      <c r="C702" s="12" t="str">
        <f>IF(ISNUMBER(Lançamentos!C702),Lançamentos!C702,"")</f>
        <v/>
      </c>
      <c r="D702" s="10" t="str">
        <f>IF(A702="","",SUM(Lançamentos!D$9:D702))</f>
        <v/>
      </c>
      <c r="E702" s="1"/>
      <c r="F702" s="11" t="str">
        <f>IF(A702="","",SUM(Lançamentos!F$9:F702))</f>
        <v/>
      </c>
      <c r="G702" s="11" t="str">
        <f>IF(A702="","",SUM(Lançamentos!G$9:G702))</f>
        <v/>
      </c>
      <c r="H702" s="11" t="str">
        <f>IF(A702="","",SUM(Lançamentos!H$9:H702))</f>
        <v/>
      </c>
      <c r="I702" s="12" t="str">
        <f>IF(A702="","",SUM(Lançamentos!C$9:C702))</f>
        <v/>
      </c>
      <c r="J702" s="13" t="str">
        <f>IF(Lançamentos!J702="","",Lançamentos!J702)</f>
        <v/>
      </c>
    </row>
    <row r="703" spans="1:10" ht="23.1" customHeight="1">
      <c r="A703" s="1" t="str">
        <f>IF(ISNUMBER(Lançamentos!A703),Lançamentos!A703,"")</f>
        <v/>
      </c>
      <c r="B703" s="1" t="str">
        <f>IF(Lançamentos!B703="","",Lançamentos!B703)</f>
        <v/>
      </c>
      <c r="C703" s="12" t="str">
        <f>IF(ISNUMBER(Lançamentos!C703),Lançamentos!C703,"")</f>
        <v/>
      </c>
      <c r="D703" s="10" t="str">
        <f>IF(A703="","",SUM(Lançamentos!D$9:D703))</f>
        <v/>
      </c>
      <c r="E703" s="1"/>
      <c r="F703" s="11" t="str">
        <f>IF(A703="","",SUM(Lançamentos!F$9:F703))</f>
        <v/>
      </c>
      <c r="G703" s="11" t="str">
        <f>IF(A703="","",SUM(Lançamentos!G$9:G703))</f>
        <v/>
      </c>
      <c r="H703" s="11" t="str">
        <f>IF(A703="","",SUM(Lançamentos!H$9:H703))</f>
        <v/>
      </c>
      <c r="I703" s="12" t="str">
        <f>IF(A703="","",SUM(Lançamentos!C$9:C703))</f>
        <v/>
      </c>
      <c r="J703" s="13" t="str">
        <f>IF(Lançamentos!J703="","",Lançamentos!J703)</f>
        <v/>
      </c>
    </row>
    <row r="704" spans="1:10" ht="23.1" customHeight="1">
      <c r="A704" s="1" t="str">
        <f>IF(ISNUMBER(Lançamentos!A704),Lançamentos!A704,"")</f>
        <v/>
      </c>
      <c r="B704" s="1" t="str">
        <f>IF(Lançamentos!B704="","",Lançamentos!B704)</f>
        <v/>
      </c>
      <c r="C704" s="12" t="str">
        <f>IF(ISNUMBER(Lançamentos!C704),Lançamentos!C704,"")</f>
        <v/>
      </c>
      <c r="D704" s="10" t="str">
        <f>IF(A704="","",SUM(Lançamentos!D$9:D704))</f>
        <v/>
      </c>
      <c r="E704" s="1"/>
      <c r="F704" s="11" t="str">
        <f>IF(A704="","",SUM(Lançamentos!F$9:F704))</f>
        <v/>
      </c>
      <c r="G704" s="11" t="str">
        <f>IF(A704="","",SUM(Lançamentos!G$9:G704))</f>
        <v/>
      </c>
      <c r="H704" s="11" t="str">
        <f>IF(A704="","",SUM(Lançamentos!H$9:H704))</f>
        <v/>
      </c>
      <c r="I704" s="12" t="str">
        <f>IF(A704="","",SUM(Lançamentos!C$9:C704))</f>
        <v/>
      </c>
      <c r="J704" s="13" t="str">
        <f>IF(Lançamentos!J704="","",Lançamentos!J704)</f>
        <v/>
      </c>
    </row>
    <row r="705" spans="1:10" ht="23.1" customHeight="1">
      <c r="A705" s="1" t="str">
        <f>IF(ISNUMBER(Lançamentos!A705),Lançamentos!A705,"")</f>
        <v/>
      </c>
      <c r="B705" s="1" t="str">
        <f>IF(Lançamentos!B705="","",Lançamentos!B705)</f>
        <v/>
      </c>
      <c r="C705" s="12" t="str">
        <f>IF(ISNUMBER(Lançamentos!C705),Lançamentos!C705,"")</f>
        <v/>
      </c>
      <c r="D705" s="10" t="str">
        <f>IF(A705="","",SUM(Lançamentos!D$9:D705))</f>
        <v/>
      </c>
      <c r="E705" s="1"/>
      <c r="F705" s="11" t="str">
        <f>IF(A705="","",SUM(Lançamentos!F$9:F705))</f>
        <v/>
      </c>
      <c r="G705" s="11" t="str">
        <f>IF(A705="","",SUM(Lançamentos!G$9:G705))</f>
        <v/>
      </c>
      <c r="H705" s="11" t="str">
        <f>IF(A705="","",SUM(Lançamentos!H$9:H705))</f>
        <v/>
      </c>
      <c r="I705" s="12" t="str">
        <f>IF(A705="","",SUM(Lançamentos!C$9:C705))</f>
        <v/>
      </c>
      <c r="J705" s="13" t="str">
        <f>IF(Lançamentos!J705="","",Lançamentos!J705)</f>
        <v/>
      </c>
    </row>
    <row r="706" spans="1:10" ht="23.1" customHeight="1">
      <c r="A706" s="1" t="str">
        <f>IF(ISNUMBER(Lançamentos!A706),Lançamentos!A706,"")</f>
        <v/>
      </c>
      <c r="B706" s="1" t="str">
        <f>IF(Lançamentos!B706="","",Lançamentos!B706)</f>
        <v/>
      </c>
      <c r="C706" s="12" t="str">
        <f>IF(ISNUMBER(Lançamentos!C706),Lançamentos!C706,"")</f>
        <v/>
      </c>
      <c r="D706" s="10" t="str">
        <f>IF(A706="","",SUM(Lançamentos!D$9:D706))</f>
        <v/>
      </c>
      <c r="E706" s="1"/>
      <c r="F706" s="11" t="str">
        <f>IF(A706="","",SUM(Lançamentos!F$9:F706))</f>
        <v/>
      </c>
      <c r="G706" s="11" t="str">
        <f>IF(A706="","",SUM(Lançamentos!G$9:G706))</f>
        <v/>
      </c>
      <c r="H706" s="11" t="str">
        <f>IF(A706="","",SUM(Lançamentos!H$9:H706))</f>
        <v/>
      </c>
      <c r="I706" s="12" t="str">
        <f>IF(A706="","",SUM(Lançamentos!C$9:C706))</f>
        <v/>
      </c>
      <c r="J706" s="13" t="str">
        <f>IF(Lançamentos!J706="","",Lançamentos!J706)</f>
        <v/>
      </c>
    </row>
    <row r="707" spans="1:10" ht="23.1" customHeight="1">
      <c r="A707" s="1" t="str">
        <f>IF(ISNUMBER(Lançamentos!A707),Lançamentos!A707,"")</f>
        <v/>
      </c>
      <c r="B707" s="1" t="str">
        <f>IF(Lançamentos!B707="","",Lançamentos!B707)</f>
        <v/>
      </c>
      <c r="C707" s="12" t="str">
        <f>IF(ISNUMBER(Lançamentos!C707),Lançamentos!C707,"")</f>
        <v/>
      </c>
      <c r="D707" s="10" t="str">
        <f>IF(A707="","",SUM(Lançamentos!D$9:D707))</f>
        <v/>
      </c>
      <c r="E707" s="1"/>
      <c r="F707" s="11" t="str">
        <f>IF(A707="","",SUM(Lançamentos!F$9:F707))</f>
        <v/>
      </c>
      <c r="G707" s="11" t="str">
        <f>IF(A707="","",SUM(Lançamentos!G$9:G707))</f>
        <v/>
      </c>
      <c r="H707" s="11" t="str">
        <f>IF(A707="","",SUM(Lançamentos!H$9:H707))</f>
        <v/>
      </c>
      <c r="I707" s="12" t="str">
        <f>IF(A707="","",SUM(Lançamentos!C$9:C707))</f>
        <v/>
      </c>
      <c r="J707" s="13" t="str">
        <f>IF(Lançamentos!J707="","",Lançamentos!J707)</f>
        <v/>
      </c>
    </row>
    <row r="708" spans="1:10" ht="23.1" customHeight="1">
      <c r="A708" s="1" t="str">
        <f>IF(ISNUMBER(Lançamentos!A708),Lançamentos!A708,"")</f>
        <v/>
      </c>
      <c r="B708" s="1" t="str">
        <f>IF(Lançamentos!B708="","",Lançamentos!B708)</f>
        <v/>
      </c>
      <c r="C708" s="12" t="str">
        <f>IF(ISNUMBER(Lançamentos!C708),Lançamentos!C708,"")</f>
        <v/>
      </c>
      <c r="D708" s="10" t="str">
        <f>IF(A708="","",SUM(Lançamentos!D$9:D708))</f>
        <v/>
      </c>
      <c r="E708" s="1"/>
      <c r="F708" s="11" t="str">
        <f>IF(A708="","",SUM(Lançamentos!F$9:F708))</f>
        <v/>
      </c>
      <c r="G708" s="11" t="str">
        <f>IF(A708="","",SUM(Lançamentos!G$9:G708))</f>
        <v/>
      </c>
      <c r="H708" s="11" t="str">
        <f>IF(A708="","",SUM(Lançamentos!H$9:H708))</f>
        <v/>
      </c>
      <c r="I708" s="12" t="str">
        <f>IF(A708="","",SUM(Lançamentos!C$9:C708))</f>
        <v/>
      </c>
      <c r="J708" s="13" t="str">
        <f>IF(Lançamentos!J708="","",Lançamentos!J708)</f>
        <v/>
      </c>
    </row>
    <row r="709" spans="1:10" ht="23.1" customHeight="1">
      <c r="A709" s="1" t="str">
        <f>IF(ISNUMBER(Lançamentos!A709),Lançamentos!A709,"")</f>
        <v/>
      </c>
      <c r="B709" s="1" t="str">
        <f>IF(Lançamentos!B709="","",Lançamentos!B709)</f>
        <v/>
      </c>
      <c r="C709" s="12" t="str">
        <f>IF(ISNUMBER(Lançamentos!C709),Lançamentos!C709,"")</f>
        <v/>
      </c>
      <c r="D709" s="10" t="str">
        <f>IF(A709="","",SUM(Lançamentos!D$9:D709))</f>
        <v/>
      </c>
      <c r="E709" s="1"/>
      <c r="F709" s="11" t="str">
        <f>IF(A709="","",SUM(Lançamentos!F$9:F709))</f>
        <v/>
      </c>
      <c r="G709" s="11" t="str">
        <f>IF(A709="","",SUM(Lançamentos!G$9:G709))</f>
        <v/>
      </c>
      <c r="H709" s="11" t="str">
        <f>IF(A709="","",SUM(Lançamentos!H$9:H709))</f>
        <v/>
      </c>
      <c r="I709" s="12" t="str">
        <f>IF(A709="","",SUM(Lançamentos!C$9:C709))</f>
        <v/>
      </c>
      <c r="J709" s="13" t="str">
        <f>IF(Lançamentos!J709="","",Lançamentos!J709)</f>
        <v/>
      </c>
    </row>
    <row r="710" spans="1:10" ht="23.1" customHeight="1">
      <c r="A710" s="1" t="str">
        <f>IF(ISNUMBER(Lançamentos!A710),Lançamentos!A710,"")</f>
        <v/>
      </c>
      <c r="B710" s="1" t="str">
        <f>IF(Lançamentos!B710="","",Lançamentos!B710)</f>
        <v/>
      </c>
      <c r="C710" s="12" t="str">
        <f>IF(ISNUMBER(Lançamentos!C710),Lançamentos!C710,"")</f>
        <v/>
      </c>
      <c r="D710" s="10" t="str">
        <f>IF(A710="","",SUM(Lançamentos!D$9:D710))</f>
        <v/>
      </c>
      <c r="E710" s="1"/>
      <c r="F710" s="11" t="str">
        <f>IF(A710="","",SUM(Lançamentos!F$9:F710))</f>
        <v/>
      </c>
      <c r="G710" s="11" t="str">
        <f>IF(A710="","",SUM(Lançamentos!G$9:G710))</f>
        <v/>
      </c>
      <c r="H710" s="11" t="str">
        <f>IF(A710="","",SUM(Lançamentos!H$9:H710))</f>
        <v/>
      </c>
      <c r="I710" s="12" t="str">
        <f>IF(A710="","",SUM(Lançamentos!C$9:C710))</f>
        <v/>
      </c>
      <c r="J710" s="13" t="str">
        <f>IF(Lançamentos!J710="","",Lançamentos!J710)</f>
        <v/>
      </c>
    </row>
    <row r="711" spans="1:10" ht="23.1" customHeight="1">
      <c r="A711" s="1" t="str">
        <f>IF(ISNUMBER(Lançamentos!A711),Lançamentos!A711,"")</f>
        <v/>
      </c>
      <c r="B711" s="1" t="str">
        <f>IF(Lançamentos!B711="","",Lançamentos!B711)</f>
        <v/>
      </c>
      <c r="C711" s="12" t="str">
        <f>IF(ISNUMBER(Lançamentos!C711),Lançamentos!C711,"")</f>
        <v/>
      </c>
      <c r="D711" s="10" t="str">
        <f>IF(A711="","",SUM(Lançamentos!D$9:D711))</f>
        <v/>
      </c>
      <c r="E711" s="1"/>
      <c r="F711" s="11" t="str">
        <f>IF(A711="","",SUM(Lançamentos!F$9:F711))</f>
        <v/>
      </c>
      <c r="G711" s="11" t="str">
        <f>IF(A711="","",SUM(Lançamentos!G$9:G711))</f>
        <v/>
      </c>
      <c r="H711" s="11" t="str">
        <f>IF(A711="","",SUM(Lançamentos!H$9:H711))</f>
        <v/>
      </c>
      <c r="I711" s="12" t="str">
        <f>IF(A711="","",SUM(Lançamentos!C$9:C711))</f>
        <v/>
      </c>
      <c r="J711" s="13" t="str">
        <f>IF(Lançamentos!J711="","",Lançamentos!J711)</f>
        <v/>
      </c>
    </row>
    <row r="712" spans="1:10" ht="23.1" customHeight="1">
      <c r="A712" s="1" t="str">
        <f>IF(ISNUMBER(Lançamentos!A712),Lançamentos!A712,"")</f>
        <v/>
      </c>
      <c r="B712" s="1" t="str">
        <f>IF(Lançamentos!B712="","",Lançamentos!B712)</f>
        <v/>
      </c>
      <c r="C712" s="12" t="str">
        <f>IF(ISNUMBER(Lançamentos!C712),Lançamentos!C712,"")</f>
        <v/>
      </c>
      <c r="D712" s="10" t="str">
        <f>IF(A712="","",SUM(Lançamentos!D$9:D712))</f>
        <v/>
      </c>
      <c r="E712" s="1"/>
      <c r="F712" s="11" t="str">
        <f>IF(A712="","",SUM(Lançamentos!F$9:F712))</f>
        <v/>
      </c>
      <c r="G712" s="11" t="str">
        <f>IF(A712="","",SUM(Lançamentos!G$9:G712))</f>
        <v/>
      </c>
      <c r="H712" s="11" t="str">
        <f>IF(A712="","",SUM(Lançamentos!H$9:H712))</f>
        <v/>
      </c>
      <c r="I712" s="12" t="str">
        <f>IF(A712="","",SUM(Lançamentos!C$9:C712))</f>
        <v/>
      </c>
      <c r="J712" s="13" t="str">
        <f>IF(Lançamentos!J712="","",Lançamentos!J712)</f>
        <v/>
      </c>
    </row>
    <row r="713" spans="1:10" ht="23.1" customHeight="1">
      <c r="A713" s="1" t="str">
        <f>IF(ISNUMBER(Lançamentos!A713),Lançamentos!A713,"")</f>
        <v/>
      </c>
      <c r="B713" s="1" t="str">
        <f>IF(Lançamentos!B713="","",Lançamentos!B713)</f>
        <v/>
      </c>
      <c r="C713" s="12" t="str">
        <f>IF(ISNUMBER(Lançamentos!C713),Lançamentos!C713,"")</f>
        <v/>
      </c>
      <c r="D713" s="10" t="str">
        <f>IF(A713="","",SUM(Lançamentos!D$9:D713))</f>
        <v/>
      </c>
      <c r="E713" s="1"/>
      <c r="F713" s="11" t="str">
        <f>IF(A713="","",SUM(Lançamentos!F$9:F713))</f>
        <v/>
      </c>
      <c r="G713" s="11" t="str">
        <f>IF(A713="","",SUM(Lançamentos!G$9:G713))</f>
        <v/>
      </c>
      <c r="H713" s="11" t="str">
        <f>IF(A713="","",SUM(Lançamentos!H$9:H713))</f>
        <v/>
      </c>
      <c r="I713" s="12" t="str">
        <f>IF(A713="","",SUM(Lançamentos!C$9:C713))</f>
        <v/>
      </c>
      <c r="J713" s="13" t="str">
        <f>IF(Lançamentos!J713="","",Lançamentos!J713)</f>
        <v/>
      </c>
    </row>
    <row r="714" spans="1:10" ht="23.1" customHeight="1">
      <c r="A714" s="1" t="str">
        <f>IF(ISNUMBER(Lançamentos!A714),Lançamentos!A714,"")</f>
        <v/>
      </c>
      <c r="B714" s="1" t="str">
        <f>IF(Lançamentos!B714="","",Lançamentos!B714)</f>
        <v/>
      </c>
      <c r="C714" s="12" t="str">
        <f>IF(ISNUMBER(Lançamentos!C714),Lançamentos!C714,"")</f>
        <v/>
      </c>
      <c r="D714" s="10" t="str">
        <f>IF(A714="","",SUM(Lançamentos!D$9:D714))</f>
        <v/>
      </c>
      <c r="E714" s="1"/>
      <c r="F714" s="11" t="str">
        <f>IF(A714="","",SUM(Lançamentos!F$9:F714))</f>
        <v/>
      </c>
      <c r="G714" s="11" t="str">
        <f>IF(A714="","",SUM(Lançamentos!G$9:G714))</f>
        <v/>
      </c>
      <c r="H714" s="11" t="str">
        <f>IF(A714="","",SUM(Lançamentos!H$9:H714))</f>
        <v/>
      </c>
      <c r="I714" s="12" t="str">
        <f>IF(A714="","",SUM(Lançamentos!C$9:C714))</f>
        <v/>
      </c>
      <c r="J714" s="13" t="str">
        <f>IF(Lançamentos!J714="","",Lançamentos!J714)</f>
        <v/>
      </c>
    </row>
    <row r="715" spans="1:10" ht="23.1" customHeight="1">
      <c r="A715" s="1" t="str">
        <f>IF(ISNUMBER(Lançamentos!A715),Lançamentos!A715,"")</f>
        <v/>
      </c>
      <c r="B715" s="1" t="str">
        <f>IF(Lançamentos!B715="","",Lançamentos!B715)</f>
        <v/>
      </c>
      <c r="C715" s="12" t="str">
        <f>IF(ISNUMBER(Lançamentos!C715),Lançamentos!C715,"")</f>
        <v/>
      </c>
      <c r="D715" s="10" t="str">
        <f>IF(A715="","",SUM(Lançamentos!D$9:D715))</f>
        <v/>
      </c>
      <c r="E715" s="1"/>
      <c r="F715" s="11" t="str">
        <f>IF(A715="","",SUM(Lançamentos!F$9:F715))</f>
        <v/>
      </c>
      <c r="G715" s="11" t="str">
        <f>IF(A715="","",SUM(Lançamentos!G$9:G715))</f>
        <v/>
      </c>
      <c r="H715" s="11" t="str">
        <f>IF(A715="","",SUM(Lançamentos!H$9:H715))</f>
        <v/>
      </c>
      <c r="I715" s="12" t="str">
        <f>IF(A715="","",SUM(Lançamentos!C$9:C715))</f>
        <v/>
      </c>
      <c r="J715" s="13" t="str">
        <f>IF(Lançamentos!J715="","",Lançamentos!J715)</f>
        <v/>
      </c>
    </row>
    <row r="716" spans="1:10" ht="23.1" customHeight="1">
      <c r="A716" s="1" t="str">
        <f>IF(ISNUMBER(Lançamentos!A716),Lançamentos!A716,"")</f>
        <v/>
      </c>
      <c r="B716" s="1" t="str">
        <f>IF(Lançamentos!B716="","",Lançamentos!B716)</f>
        <v/>
      </c>
      <c r="C716" s="12" t="str">
        <f>IF(ISNUMBER(Lançamentos!C716),Lançamentos!C716,"")</f>
        <v/>
      </c>
      <c r="D716" s="10" t="str">
        <f>IF(A716="","",SUM(Lançamentos!D$9:D716))</f>
        <v/>
      </c>
      <c r="E716" s="1"/>
      <c r="F716" s="11" t="str">
        <f>IF(A716="","",SUM(Lançamentos!F$9:F716))</f>
        <v/>
      </c>
      <c r="G716" s="11" t="str">
        <f>IF(A716="","",SUM(Lançamentos!G$9:G716))</f>
        <v/>
      </c>
      <c r="H716" s="11" t="str">
        <f>IF(A716="","",SUM(Lançamentos!H$9:H716))</f>
        <v/>
      </c>
      <c r="I716" s="12" t="str">
        <f>IF(A716="","",SUM(Lançamentos!C$9:C716))</f>
        <v/>
      </c>
      <c r="J716" s="13" t="str">
        <f>IF(Lançamentos!J716="","",Lançamentos!J716)</f>
        <v/>
      </c>
    </row>
    <row r="717" spans="1:10" ht="23.1" customHeight="1">
      <c r="A717" s="1" t="str">
        <f>IF(ISNUMBER(Lançamentos!A717),Lançamentos!A717,"")</f>
        <v/>
      </c>
      <c r="B717" s="1" t="str">
        <f>IF(Lançamentos!B717="","",Lançamentos!B717)</f>
        <v/>
      </c>
      <c r="C717" s="12" t="str">
        <f>IF(ISNUMBER(Lançamentos!C717),Lançamentos!C717,"")</f>
        <v/>
      </c>
      <c r="D717" s="10" t="str">
        <f>IF(A717="","",SUM(Lançamentos!D$9:D717))</f>
        <v/>
      </c>
      <c r="E717" s="1"/>
      <c r="F717" s="11" t="str">
        <f>IF(A717="","",SUM(Lançamentos!F$9:F717))</f>
        <v/>
      </c>
      <c r="G717" s="11" t="str">
        <f>IF(A717="","",SUM(Lançamentos!G$9:G717))</f>
        <v/>
      </c>
      <c r="H717" s="11" t="str">
        <f>IF(A717="","",SUM(Lançamentos!H$9:H717))</f>
        <v/>
      </c>
      <c r="I717" s="12" t="str">
        <f>IF(A717="","",SUM(Lançamentos!C$9:C717))</f>
        <v/>
      </c>
      <c r="J717" s="13" t="str">
        <f>IF(Lançamentos!J717="","",Lançamentos!J717)</f>
        <v/>
      </c>
    </row>
    <row r="718" spans="1:10" ht="23.1" customHeight="1">
      <c r="A718" s="1" t="str">
        <f>IF(ISNUMBER(Lançamentos!A718),Lançamentos!A718,"")</f>
        <v/>
      </c>
      <c r="B718" s="1" t="str">
        <f>IF(Lançamentos!B718="","",Lançamentos!B718)</f>
        <v/>
      </c>
      <c r="C718" s="12" t="str">
        <f>IF(ISNUMBER(Lançamentos!C718),Lançamentos!C718,"")</f>
        <v/>
      </c>
      <c r="D718" s="10" t="str">
        <f>IF(A718="","",SUM(Lançamentos!D$9:D718))</f>
        <v/>
      </c>
      <c r="E718" s="1"/>
      <c r="F718" s="11" t="str">
        <f>IF(A718="","",SUM(Lançamentos!F$9:F718))</f>
        <v/>
      </c>
      <c r="G718" s="11" t="str">
        <f>IF(A718="","",SUM(Lançamentos!G$9:G718))</f>
        <v/>
      </c>
      <c r="H718" s="11" t="str">
        <f>IF(A718="","",SUM(Lançamentos!H$9:H718))</f>
        <v/>
      </c>
      <c r="I718" s="12" t="str">
        <f>IF(A718="","",SUM(Lançamentos!C$9:C718))</f>
        <v/>
      </c>
      <c r="J718" s="13" t="str">
        <f>IF(Lançamentos!J718="","",Lançamentos!J718)</f>
        <v/>
      </c>
    </row>
    <row r="719" spans="1:10" ht="23.1" customHeight="1">
      <c r="A719" s="1" t="str">
        <f>IF(ISNUMBER(Lançamentos!A719),Lançamentos!A719,"")</f>
        <v/>
      </c>
      <c r="B719" s="1" t="str">
        <f>IF(Lançamentos!B719="","",Lançamentos!B719)</f>
        <v/>
      </c>
      <c r="C719" s="12" t="str">
        <f>IF(ISNUMBER(Lançamentos!C719),Lançamentos!C719,"")</f>
        <v/>
      </c>
      <c r="D719" s="10" t="str">
        <f>IF(A719="","",SUM(Lançamentos!D$9:D719))</f>
        <v/>
      </c>
      <c r="E719" s="1"/>
      <c r="F719" s="11" t="str">
        <f>IF(A719="","",SUM(Lançamentos!F$9:F719))</f>
        <v/>
      </c>
      <c r="G719" s="11" t="str">
        <f>IF(A719="","",SUM(Lançamentos!G$9:G719))</f>
        <v/>
      </c>
      <c r="H719" s="11" t="str">
        <f>IF(A719="","",SUM(Lançamentos!H$9:H719))</f>
        <v/>
      </c>
      <c r="I719" s="12" t="str">
        <f>IF(A719="","",SUM(Lançamentos!C$9:C719))</f>
        <v/>
      </c>
      <c r="J719" s="13" t="str">
        <f>IF(Lançamentos!J719="","",Lançamentos!J719)</f>
        <v/>
      </c>
    </row>
    <row r="720" spans="1:10" ht="23.1" customHeight="1">
      <c r="A720" s="1" t="str">
        <f>IF(ISNUMBER(Lançamentos!A720),Lançamentos!A720,"")</f>
        <v/>
      </c>
      <c r="B720" s="1" t="str">
        <f>IF(Lançamentos!B720="","",Lançamentos!B720)</f>
        <v/>
      </c>
      <c r="C720" s="12" t="str">
        <f>IF(ISNUMBER(Lançamentos!C720),Lançamentos!C720,"")</f>
        <v/>
      </c>
      <c r="D720" s="10" t="str">
        <f>IF(A720="","",SUM(Lançamentos!D$9:D720))</f>
        <v/>
      </c>
      <c r="E720" s="1"/>
      <c r="F720" s="11" t="str">
        <f>IF(A720="","",SUM(Lançamentos!F$9:F720))</f>
        <v/>
      </c>
      <c r="G720" s="11" t="str">
        <f>IF(A720="","",SUM(Lançamentos!G$9:G720))</f>
        <v/>
      </c>
      <c r="H720" s="11" t="str">
        <f>IF(A720="","",SUM(Lançamentos!H$9:H720))</f>
        <v/>
      </c>
      <c r="I720" s="12" t="str">
        <f>IF(A720="","",SUM(Lançamentos!C$9:C720))</f>
        <v/>
      </c>
      <c r="J720" s="13" t="str">
        <f>IF(Lançamentos!J720="","",Lançamentos!J720)</f>
        <v/>
      </c>
    </row>
    <row r="721" spans="1:10" ht="23.1" customHeight="1">
      <c r="A721" s="1" t="str">
        <f>IF(ISNUMBER(Lançamentos!A721),Lançamentos!A721,"")</f>
        <v/>
      </c>
      <c r="B721" s="1" t="str">
        <f>IF(Lançamentos!B721="","",Lançamentos!B721)</f>
        <v/>
      </c>
      <c r="C721" s="12" t="str">
        <f>IF(ISNUMBER(Lançamentos!C721),Lançamentos!C721,"")</f>
        <v/>
      </c>
      <c r="D721" s="10" t="str">
        <f>IF(A721="","",SUM(Lançamentos!D$9:D721))</f>
        <v/>
      </c>
      <c r="E721" s="1"/>
      <c r="F721" s="11" t="str">
        <f>IF(A721="","",SUM(Lançamentos!F$9:F721))</f>
        <v/>
      </c>
      <c r="G721" s="11" t="str">
        <f>IF(A721="","",SUM(Lançamentos!G$9:G721))</f>
        <v/>
      </c>
      <c r="H721" s="11" t="str">
        <f>IF(A721="","",SUM(Lançamentos!H$9:H721))</f>
        <v/>
      </c>
      <c r="I721" s="12" t="str">
        <f>IF(A721="","",SUM(Lançamentos!C$9:C721))</f>
        <v/>
      </c>
      <c r="J721" s="13" t="str">
        <f>IF(Lançamentos!J721="","",Lançamentos!J721)</f>
        <v/>
      </c>
    </row>
    <row r="722" spans="1:10" ht="23.1" customHeight="1">
      <c r="A722" s="1" t="str">
        <f>IF(ISNUMBER(Lançamentos!A722),Lançamentos!A722,"")</f>
        <v/>
      </c>
      <c r="B722" s="1" t="str">
        <f>IF(Lançamentos!B722="","",Lançamentos!B722)</f>
        <v/>
      </c>
      <c r="C722" s="12" t="str">
        <f>IF(ISNUMBER(Lançamentos!C722),Lançamentos!C722,"")</f>
        <v/>
      </c>
      <c r="D722" s="10" t="str">
        <f>IF(A722="","",SUM(Lançamentos!D$9:D722))</f>
        <v/>
      </c>
      <c r="E722" s="1"/>
      <c r="F722" s="11" t="str">
        <f>IF(A722="","",SUM(Lançamentos!F$9:F722))</f>
        <v/>
      </c>
      <c r="G722" s="11" t="str">
        <f>IF(A722="","",SUM(Lançamentos!G$9:G722))</f>
        <v/>
      </c>
      <c r="H722" s="11" t="str">
        <f>IF(A722="","",SUM(Lançamentos!H$9:H722))</f>
        <v/>
      </c>
      <c r="I722" s="12" t="str">
        <f>IF(A722="","",SUM(Lançamentos!C$9:C722))</f>
        <v/>
      </c>
      <c r="J722" s="13" t="str">
        <f>IF(Lançamentos!J722="","",Lançamentos!J722)</f>
        <v/>
      </c>
    </row>
    <row r="723" spans="1:10" ht="23.1" customHeight="1">
      <c r="A723" s="1" t="str">
        <f>IF(ISNUMBER(Lançamentos!A723),Lançamentos!A723,"")</f>
        <v/>
      </c>
      <c r="B723" s="1" t="str">
        <f>IF(Lançamentos!B723="","",Lançamentos!B723)</f>
        <v/>
      </c>
      <c r="C723" s="12" t="str">
        <f>IF(ISNUMBER(Lançamentos!C723),Lançamentos!C723,"")</f>
        <v/>
      </c>
      <c r="D723" s="10" t="str">
        <f>IF(A723="","",SUM(Lançamentos!D$9:D723))</f>
        <v/>
      </c>
      <c r="E723" s="1"/>
      <c r="F723" s="11" t="str">
        <f>IF(A723="","",SUM(Lançamentos!F$9:F723))</f>
        <v/>
      </c>
      <c r="G723" s="11" t="str">
        <f>IF(A723="","",SUM(Lançamentos!G$9:G723))</f>
        <v/>
      </c>
      <c r="H723" s="11" t="str">
        <f>IF(A723="","",SUM(Lançamentos!H$9:H723))</f>
        <v/>
      </c>
      <c r="I723" s="12" t="str">
        <f>IF(A723="","",SUM(Lançamentos!C$9:C723))</f>
        <v/>
      </c>
      <c r="J723" s="13" t="str">
        <f>IF(Lançamentos!J723="","",Lançamentos!J723)</f>
        <v/>
      </c>
    </row>
    <row r="724" spans="1:10" ht="23.1" customHeight="1">
      <c r="A724" s="1" t="str">
        <f>IF(ISNUMBER(Lançamentos!A724),Lançamentos!A724,"")</f>
        <v/>
      </c>
      <c r="B724" s="1" t="str">
        <f>IF(Lançamentos!B724="","",Lançamentos!B724)</f>
        <v/>
      </c>
      <c r="C724" s="12" t="str">
        <f>IF(ISNUMBER(Lançamentos!C724),Lançamentos!C724,"")</f>
        <v/>
      </c>
      <c r="D724" s="10" t="str">
        <f>IF(A724="","",SUM(Lançamentos!D$9:D724))</f>
        <v/>
      </c>
      <c r="E724" s="1"/>
      <c r="F724" s="11" t="str">
        <f>IF(A724="","",SUM(Lançamentos!F$9:F724))</f>
        <v/>
      </c>
      <c r="G724" s="11" t="str">
        <f>IF(A724="","",SUM(Lançamentos!G$9:G724))</f>
        <v/>
      </c>
      <c r="H724" s="11" t="str">
        <f>IF(A724="","",SUM(Lançamentos!H$9:H724))</f>
        <v/>
      </c>
      <c r="I724" s="12" t="str">
        <f>IF(A724="","",SUM(Lançamentos!C$9:C724))</f>
        <v/>
      </c>
      <c r="J724" s="13" t="str">
        <f>IF(Lançamentos!J724="","",Lançamentos!J724)</f>
        <v/>
      </c>
    </row>
    <row r="725" spans="1:10" ht="23.1" customHeight="1">
      <c r="A725" s="1" t="str">
        <f>IF(ISNUMBER(Lançamentos!A725),Lançamentos!A725,"")</f>
        <v/>
      </c>
      <c r="B725" s="1" t="str">
        <f>IF(Lançamentos!B725="","",Lançamentos!B725)</f>
        <v/>
      </c>
      <c r="C725" s="12" t="str">
        <f>IF(ISNUMBER(Lançamentos!C725),Lançamentos!C725,"")</f>
        <v/>
      </c>
      <c r="D725" s="10" t="str">
        <f>IF(A725="","",SUM(Lançamentos!D$9:D725))</f>
        <v/>
      </c>
      <c r="E725" s="1"/>
      <c r="F725" s="11" t="str">
        <f>IF(A725="","",SUM(Lançamentos!F$9:F725))</f>
        <v/>
      </c>
      <c r="G725" s="11" t="str">
        <f>IF(A725="","",SUM(Lançamentos!G$9:G725))</f>
        <v/>
      </c>
      <c r="H725" s="11" t="str">
        <f>IF(A725="","",SUM(Lançamentos!H$9:H725))</f>
        <v/>
      </c>
      <c r="I725" s="12" t="str">
        <f>IF(A725="","",SUM(Lançamentos!C$9:C725))</f>
        <v/>
      </c>
      <c r="J725" s="13" t="str">
        <f>IF(Lançamentos!J725="","",Lançamentos!J725)</f>
        <v/>
      </c>
    </row>
    <row r="726" spans="1:10" ht="23.1" customHeight="1">
      <c r="A726" s="1" t="str">
        <f>IF(ISNUMBER(Lançamentos!A726),Lançamentos!A726,"")</f>
        <v/>
      </c>
      <c r="B726" s="1" t="str">
        <f>IF(Lançamentos!B726="","",Lançamentos!B726)</f>
        <v/>
      </c>
      <c r="C726" s="12" t="str">
        <f>IF(ISNUMBER(Lançamentos!C726),Lançamentos!C726,"")</f>
        <v/>
      </c>
      <c r="D726" s="10" t="str">
        <f>IF(A726="","",SUM(Lançamentos!D$9:D726))</f>
        <v/>
      </c>
      <c r="E726" s="1"/>
      <c r="F726" s="11" t="str">
        <f>IF(A726="","",SUM(Lançamentos!F$9:F726))</f>
        <v/>
      </c>
      <c r="G726" s="11" t="str">
        <f>IF(A726="","",SUM(Lançamentos!G$9:G726))</f>
        <v/>
      </c>
      <c r="H726" s="11" t="str">
        <f>IF(A726="","",SUM(Lançamentos!H$9:H726))</f>
        <v/>
      </c>
      <c r="I726" s="12" t="str">
        <f>IF(A726="","",SUM(Lançamentos!C$9:C726))</f>
        <v/>
      </c>
      <c r="J726" s="13" t="str">
        <f>IF(Lançamentos!J726="","",Lançamentos!J726)</f>
        <v/>
      </c>
    </row>
    <row r="727" spans="1:10" ht="23.1" customHeight="1">
      <c r="A727" s="1" t="str">
        <f>IF(ISNUMBER(Lançamentos!A727),Lançamentos!A727,"")</f>
        <v/>
      </c>
      <c r="B727" s="1" t="str">
        <f>IF(Lançamentos!B727="","",Lançamentos!B727)</f>
        <v/>
      </c>
      <c r="C727" s="12" t="str">
        <f>IF(ISNUMBER(Lançamentos!C727),Lançamentos!C727,"")</f>
        <v/>
      </c>
      <c r="D727" s="10" t="str">
        <f>IF(A727="","",SUM(Lançamentos!D$9:D727))</f>
        <v/>
      </c>
      <c r="E727" s="1"/>
      <c r="F727" s="11" t="str">
        <f>IF(A727="","",SUM(Lançamentos!F$9:F727))</f>
        <v/>
      </c>
      <c r="G727" s="11" t="str">
        <f>IF(A727="","",SUM(Lançamentos!G$9:G727))</f>
        <v/>
      </c>
      <c r="H727" s="11" t="str">
        <f>IF(A727="","",SUM(Lançamentos!H$9:H727))</f>
        <v/>
      </c>
      <c r="I727" s="12" t="str">
        <f>IF(A727="","",SUM(Lançamentos!C$9:C727))</f>
        <v/>
      </c>
      <c r="J727" s="13" t="str">
        <f>IF(Lançamentos!J727="","",Lançamentos!J727)</f>
        <v/>
      </c>
    </row>
    <row r="728" spans="1:10" ht="23.1" customHeight="1">
      <c r="A728" s="1" t="str">
        <f>IF(ISNUMBER(Lançamentos!A728),Lançamentos!A728,"")</f>
        <v/>
      </c>
      <c r="B728" s="1" t="str">
        <f>IF(Lançamentos!B728="","",Lançamentos!B728)</f>
        <v/>
      </c>
      <c r="C728" s="12" t="str">
        <f>IF(ISNUMBER(Lançamentos!C728),Lançamentos!C728,"")</f>
        <v/>
      </c>
      <c r="D728" s="10" t="str">
        <f>IF(A728="","",SUM(Lançamentos!D$9:D728))</f>
        <v/>
      </c>
      <c r="E728" s="1"/>
      <c r="F728" s="11" t="str">
        <f>IF(A728="","",SUM(Lançamentos!F$9:F728))</f>
        <v/>
      </c>
      <c r="G728" s="11" t="str">
        <f>IF(A728="","",SUM(Lançamentos!G$9:G728))</f>
        <v/>
      </c>
      <c r="H728" s="11" t="str">
        <f>IF(A728="","",SUM(Lançamentos!H$9:H728))</f>
        <v/>
      </c>
      <c r="I728" s="12" t="str">
        <f>IF(A728="","",SUM(Lançamentos!C$9:C728))</f>
        <v/>
      </c>
      <c r="J728" s="13" t="str">
        <f>IF(Lançamentos!J728="","",Lançamentos!J728)</f>
        <v/>
      </c>
    </row>
    <row r="729" spans="1:10" ht="23.1" customHeight="1">
      <c r="A729" s="1" t="str">
        <f>IF(ISNUMBER(Lançamentos!A729),Lançamentos!A729,"")</f>
        <v/>
      </c>
      <c r="B729" s="1" t="str">
        <f>IF(Lançamentos!B729="","",Lançamentos!B729)</f>
        <v/>
      </c>
      <c r="C729" s="12" t="str">
        <f>IF(ISNUMBER(Lançamentos!C729),Lançamentos!C729,"")</f>
        <v/>
      </c>
      <c r="D729" s="10" t="str">
        <f>IF(A729="","",SUM(Lançamentos!D$9:D729))</f>
        <v/>
      </c>
      <c r="E729" s="1"/>
      <c r="F729" s="11" t="str">
        <f>IF(A729="","",SUM(Lançamentos!F$9:F729))</f>
        <v/>
      </c>
      <c r="G729" s="11" t="str">
        <f>IF(A729="","",SUM(Lançamentos!G$9:G729))</f>
        <v/>
      </c>
      <c r="H729" s="11" t="str">
        <f>IF(A729="","",SUM(Lançamentos!H$9:H729))</f>
        <v/>
      </c>
      <c r="I729" s="12" t="str">
        <f>IF(A729="","",SUM(Lançamentos!C$9:C729))</f>
        <v/>
      </c>
      <c r="J729" s="13" t="str">
        <f>IF(Lançamentos!J729="","",Lançamentos!J729)</f>
        <v/>
      </c>
    </row>
    <row r="730" spans="1:10" ht="23.1" customHeight="1">
      <c r="A730" s="1" t="str">
        <f>IF(ISNUMBER(Lançamentos!A730),Lançamentos!A730,"")</f>
        <v/>
      </c>
      <c r="B730" s="1" t="str">
        <f>IF(Lançamentos!B730="","",Lançamentos!B730)</f>
        <v/>
      </c>
      <c r="C730" s="12" t="str">
        <f>IF(ISNUMBER(Lançamentos!C730),Lançamentos!C730,"")</f>
        <v/>
      </c>
      <c r="D730" s="10" t="str">
        <f>IF(A730="","",SUM(Lançamentos!D$9:D730))</f>
        <v/>
      </c>
      <c r="E730" s="1"/>
      <c r="F730" s="11" t="str">
        <f>IF(A730="","",SUM(Lançamentos!F$9:F730))</f>
        <v/>
      </c>
      <c r="G730" s="11" t="str">
        <f>IF(A730="","",SUM(Lançamentos!G$9:G730))</f>
        <v/>
      </c>
      <c r="H730" s="11" t="str">
        <f>IF(A730="","",SUM(Lançamentos!H$9:H730))</f>
        <v/>
      </c>
      <c r="I730" s="12" t="str">
        <f>IF(A730="","",SUM(Lançamentos!C$9:C730))</f>
        <v/>
      </c>
      <c r="J730" s="13" t="str">
        <f>IF(Lançamentos!J730="","",Lançamentos!J730)</f>
        <v/>
      </c>
    </row>
    <row r="731" spans="1:10" ht="23.1" customHeight="1">
      <c r="A731" s="1" t="str">
        <f>IF(ISNUMBER(Lançamentos!A731),Lançamentos!A731,"")</f>
        <v/>
      </c>
      <c r="B731" s="1" t="str">
        <f>IF(Lançamentos!B731="","",Lançamentos!B731)</f>
        <v/>
      </c>
      <c r="C731" s="12" t="str">
        <f>IF(ISNUMBER(Lançamentos!C731),Lançamentos!C731,"")</f>
        <v/>
      </c>
      <c r="D731" s="10" t="str">
        <f>IF(A731="","",SUM(Lançamentos!D$9:D731))</f>
        <v/>
      </c>
      <c r="E731" s="1"/>
      <c r="F731" s="11" t="str">
        <f>IF(A731="","",SUM(Lançamentos!F$9:F731))</f>
        <v/>
      </c>
      <c r="G731" s="11" t="str">
        <f>IF(A731="","",SUM(Lançamentos!G$9:G731))</f>
        <v/>
      </c>
      <c r="H731" s="11" t="str">
        <f>IF(A731="","",SUM(Lançamentos!H$9:H731))</f>
        <v/>
      </c>
      <c r="I731" s="12" t="str">
        <f>IF(A731="","",SUM(Lançamentos!C$9:C731))</f>
        <v/>
      </c>
      <c r="J731" s="13" t="str">
        <f>IF(Lançamentos!J731="","",Lançamentos!J731)</f>
        <v/>
      </c>
    </row>
    <row r="732" spans="1:10" ht="23.1" customHeight="1">
      <c r="A732" s="1" t="str">
        <f>IF(ISNUMBER(Lançamentos!A732),Lançamentos!A732,"")</f>
        <v/>
      </c>
      <c r="B732" s="1" t="str">
        <f>IF(Lançamentos!B732="","",Lançamentos!B732)</f>
        <v/>
      </c>
      <c r="C732" s="12" t="str">
        <f>IF(ISNUMBER(Lançamentos!C732),Lançamentos!C732,"")</f>
        <v/>
      </c>
      <c r="D732" s="10" t="str">
        <f>IF(A732="","",SUM(Lançamentos!D$9:D732))</f>
        <v/>
      </c>
      <c r="E732" s="1"/>
      <c r="F732" s="11" t="str">
        <f>IF(A732="","",SUM(Lançamentos!F$9:F732))</f>
        <v/>
      </c>
      <c r="G732" s="11" t="str">
        <f>IF(A732="","",SUM(Lançamentos!G$9:G732))</f>
        <v/>
      </c>
      <c r="H732" s="11" t="str">
        <f>IF(A732="","",SUM(Lançamentos!H$9:H732))</f>
        <v/>
      </c>
      <c r="I732" s="12" t="str">
        <f>IF(A732="","",SUM(Lançamentos!C$9:C732))</f>
        <v/>
      </c>
      <c r="J732" s="13" t="str">
        <f>IF(Lançamentos!J732="","",Lançamentos!J732)</f>
        <v/>
      </c>
    </row>
    <row r="733" spans="1:10" ht="23.1" customHeight="1">
      <c r="A733" s="1" t="str">
        <f>IF(ISNUMBER(Lançamentos!A733),Lançamentos!A733,"")</f>
        <v/>
      </c>
      <c r="B733" s="1" t="str">
        <f>IF(Lançamentos!B733="","",Lançamentos!B733)</f>
        <v/>
      </c>
      <c r="C733" s="12" t="str">
        <f>IF(ISNUMBER(Lançamentos!C733),Lançamentos!C733,"")</f>
        <v/>
      </c>
      <c r="D733" s="10" t="str">
        <f>IF(A733="","",SUM(Lançamentos!D$9:D733))</f>
        <v/>
      </c>
      <c r="E733" s="1"/>
      <c r="F733" s="11" t="str">
        <f>IF(A733="","",SUM(Lançamentos!F$9:F733))</f>
        <v/>
      </c>
      <c r="G733" s="11" t="str">
        <f>IF(A733="","",SUM(Lançamentos!G$9:G733))</f>
        <v/>
      </c>
      <c r="H733" s="11" t="str">
        <f>IF(A733="","",SUM(Lançamentos!H$9:H733))</f>
        <v/>
      </c>
      <c r="I733" s="12" t="str">
        <f>IF(A733="","",SUM(Lançamentos!C$9:C733))</f>
        <v/>
      </c>
      <c r="J733" s="13" t="str">
        <f>IF(Lançamentos!J733="","",Lançamentos!J733)</f>
        <v/>
      </c>
    </row>
    <row r="734" spans="1:10" ht="23.1" customHeight="1">
      <c r="A734" s="1" t="str">
        <f>IF(ISNUMBER(Lançamentos!A734),Lançamentos!A734,"")</f>
        <v/>
      </c>
      <c r="B734" s="1" t="str">
        <f>IF(Lançamentos!B734="","",Lançamentos!B734)</f>
        <v/>
      </c>
      <c r="C734" s="12" t="str">
        <f>IF(ISNUMBER(Lançamentos!C734),Lançamentos!C734,"")</f>
        <v/>
      </c>
      <c r="D734" s="10" t="str">
        <f>IF(A734="","",SUM(Lançamentos!D$9:D734))</f>
        <v/>
      </c>
      <c r="E734" s="1"/>
      <c r="F734" s="11" t="str">
        <f>IF(A734="","",SUM(Lançamentos!F$9:F734))</f>
        <v/>
      </c>
      <c r="G734" s="11" t="str">
        <f>IF(A734="","",SUM(Lançamentos!G$9:G734))</f>
        <v/>
      </c>
      <c r="H734" s="11" t="str">
        <f>IF(A734="","",SUM(Lançamentos!H$9:H734))</f>
        <v/>
      </c>
      <c r="I734" s="12" t="str">
        <f>IF(A734="","",SUM(Lançamentos!C$9:C734))</f>
        <v/>
      </c>
      <c r="J734" s="13" t="str">
        <f>IF(Lançamentos!J734="","",Lançamentos!J734)</f>
        <v/>
      </c>
    </row>
    <row r="735" spans="1:10" ht="23.1" customHeight="1">
      <c r="A735" s="1" t="str">
        <f>IF(ISNUMBER(Lançamentos!A735),Lançamentos!A735,"")</f>
        <v/>
      </c>
      <c r="B735" s="1" t="str">
        <f>IF(Lançamentos!B735="","",Lançamentos!B735)</f>
        <v/>
      </c>
      <c r="C735" s="12" t="str">
        <f>IF(ISNUMBER(Lançamentos!C735),Lançamentos!C735,"")</f>
        <v/>
      </c>
      <c r="D735" s="10" t="str">
        <f>IF(A735="","",SUM(Lançamentos!D$9:D735))</f>
        <v/>
      </c>
      <c r="E735" s="1"/>
      <c r="F735" s="11" t="str">
        <f>IF(A735="","",SUM(Lançamentos!F$9:F735))</f>
        <v/>
      </c>
      <c r="G735" s="11" t="str">
        <f>IF(A735="","",SUM(Lançamentos!G$9:G735))</f>
        <v/>
      </c>
      <c r="H735" s="11" t="str">
        <f>IF(A735="","",SUM(Lançamentos!H$9:H735))</f>
        <v/>
      </c>
      <c r="I735" s="12" t="str">
        <f>IF(A735="","",SUM(Lançamentos!C$9:C735))</f>
        <v/>
      </c>
      <c r="J735" s="13" t="str">
        <f>IF(Lançamentos!J735="","",Lançamentos!J735)</f>
        <v/>
      </c>
    </row>
    <row r="736" spans="1:10" ht="23.1" customHeight="1">
      <c r="A736" s="1" t="str">
        <f>IF(ISNUMBER(Lançamentos!A736),Lançamentos!A736,"")</f>
        <v/>
      </c>
      <c r="B736" s="1" t="str">
        <f>IF(Lançamentos!B736="","",Lançamentos!B736)</f>
        <v/>
      </c>
      <c r="C736" s="12" t="str">
        <f>IF(ISNUMBER(Lançamentos!C736),Lançamentos!C736,"")</f>
        <v/>
      </c>
      <c r="D736" s="10" t="str">
        <f>IF(A736="","",SUM(Lançamentos!D$9:D736))</f>
        <v/>
      </c>
      <c r="E736" s="1"/>
      <c r="F736" s="11" t="str">
        <f>IF(A736="","",SUM(Lançamentos!F$9:F736))</f>
        <v/>
      </c>
      <c r="G736" s="11" t="str">
        <f>IF(A736="","",SUM(Lançamentos!G$9:G736))</f>
        <v/>
      </c>
      <c r="H736" s="11" t="str">
        <f>IF(A736="","",SUM(Lançamentos!H$9:H736))</f>
        <v/>
      </c>
      <c r="I736" s="12" t="str">
        <f>IF(A736="","",SUM(Lançamentos!C$9:C736))</f>
        <v/>
      </c>
      <c r="J736" s="13" t="str">
        <f>IF(Lançamentos!J736="","",Lançamentos!J736)</f>
        <v/>
      </c>
    </row>
    <row r="737" spans="1:10" ht="23.1" customHeight="1">
      <c r="A737" s="1" t="str">
        <f>IF(ISNUMBER(Lançamentos!A737),Lançamentos!A737,"")</f>
        <v/>
      </c>
      <c r="B737" s="1" t="str">
        <f>IF(Lançamentos!B737="","",Lançamentos!B737)</f>
        <v/>
      </c>
      <c r="C737" s="12" t="str">
        <f>IF(ISNUMBER(Lançamentos!C737),Lançamentos!C737,"")</f>
        <v/>
      </c>
      <c r="D737" s="10" t="str">
        <f>IF(A737="","",SUM(Lançamentos!D$9:D737))</f>
        <v/>
      </c>
      <c r="E737" s="1"/>
      <c r="F737" s="11" t="str">
        <f>IF(A737="","",SUM(Lançamentos!F$9:F737))</f>
        <v/>
      </c>
      <c r="G737" s="11" t="str">
        <f>IF(A737="","",SUM(Lançamentos!G$9:G737))</f>
        <v/>
      </c>
      <c r="H737" s="11" t="str">
        <f>IF(A737="","",SUM(Lançamentos!H$9:H737))</f>
        <v/>
      </c>
      <c r="I737" s="12" t="str">
        <f>IF(A737="","",SUM(Lançamentos!C$9:C737))</f>
        <v/>
      </c>
      <c r="J737" s="13" t="str">
        <f>IF(Lançamentos!J737="","",Lançamentos!J737)</f>
        <v/>
      </c>
    </row>
    <row r="738" spans="1:10" ht="23.1" customHeight="1">
      <c r="A738" s="1" t="str">
        <f>IF(ISNUMBER(Lançamentos!A738),Lançamentos!A738,"")</f>
        <v/>
      </c>
      <c r="B738" s="1" t="str">
        <f>IF(Lançamentos!B738="","",Lançamentos!B738)</f>
        <v/>
      </c>
      <c r="C738" s="12" t="str">
        <f>IF(ISNUMBER(Lançamentos!C738),Lançamentos!C738,"")</f>
        <v/>
      </c>
      <c r="D738" s="10" t="str">
        <f>IF(A738="","",SUM(Lançamentos!D$9:D738))</f>
        <v/>
      </c>
      <c r="E738" s="1"/>
      <c r="F738" s="11" t="str">
        <f>IF(A738="","",SUM(Lançamentos!F$9:F738))</f>
        <v/>
      </c>
      <c r="G738" s="11" t="str">
        <f>IF(A738="","",SUM(Lançamentos!G$9:G738))</f>
        <v/>
      </c>
      <c r="H738" s="11" t="str">
        <f>IF(A738="","",SUM(Lançamentos!H$9:H738))</f>
        <v/>
      </c>
      <c r="I738" s="12" t="str">
        <f>IF(A738="","",SUM(Lançamentos!C$9:C738))</f>
        <v/>
      </c>
      <c r="J738" s="13" t="str">
        <f>IF(Lançamentos!J738="","",Lançamentos!J738)</f>
        <v/>
      </c>
    </row>
    <row r="739" spans="1:10" ht="23.1" customHeight="1">
      <c r="A739" s="1" t="str">
        <f>IF(ISNUMBER(Lançamentos!A739),Lançamentos!A739,"")</f>
        <v/>
      </c>
      <c r="B739" s="1" t="str">
        <f>IF(Lançamentos!B739="","",Lançamentos!B739)</f>
        <v/>
      </c>
      <c r="C739" s="12" t="str">
        <f>IF(ISNUMBER(Lançamentos!C739),Lançamentos!C739,"")</f>
        <v/>
      </c>
      <c r="D739" s="10" t="str">
        <f>IF(A739="","",SUM(Lançamentos!D$9:D739))</f>
        <v/>
      </c>
      <c r="E739" s="1"/>
      <c r="F739" s="11" t="str">
        <f>IF(A739="","",SUM(Lançamentos!F$9:F739))</f>
        <v/>
      </c>
      <c r="G739" s="11" t="str">
        <f>IF(A739="","",SUM(Lançamentos!G$9:G739))</f>
        <v/>
      </c>
      <c r="H739" s="11" t="str">
        <f>IF(A739="","",SUM(Lançamentos!H$9:H739))</f>
        <v/>
      </c>
      <c r="I739" s="12" t="str">
        <f>IF(A739="","",SUM(Lançamentos!C$9:C739))</f>
        <v/>
      </c>
      <c r="J739" s="13" t="str">
        <f>IF(Lançamentos!J739="","",Lançamentos!J739)</f>
        <v/>
      </c>
    </row>
    <row r="740" spans="1:10" ht="23.1" customHeight="1">
      <c r="A740" s="1" t="str">
        <f>IF(ISNUMBER(Lançamentos!A740),Lançamentos!A740,"")</f>
        <v/>
      </c>
      <c r="B740" s="1" t="str">
        <f>IF(Lançamentos!B740="","",Lançamentos!B740)</f>
        <v/>
      </c>
      <c r="C740" s="12" t="str">
        <f>IF(ISNUMBER(Lançamentos!C740),Lançamentos!C740,"")</f>
        <v/>
      </c>
      <c r="D740" s="10" t="str">
        <f>IF(A740="","",SUM(Lançamentos!D$9:D740))</f>
        <v/>
      </c>
      <c r="E740" s="1"/>
      <c r="F740" s="11" t="str">
        <f>IF(A740="","",SUM(Lançamentos!F$9:F740))</f>
        <v/>
      </c>
      <c r="G740" s="11" t="str">
        <f>IF(A740="","",SUM(Lançamentos!G$9:G740))</f>
        <v/>
      </c>
      <c r="H740" s="11" t="str">
        <f>IF(A740="","",SUM(Lançamentos!H$9:H740))</f>
        <v/>
      </c>
      <c r="I740" s="12" t="str">
        <f>IF(A740="","",SUM(Lançamentos!C$9:C740))</f>
        <v/>
      </c>
      <c r="J740" s="13" t="str">
        <f>IF(Lançamentos!J740="","",Lançamentos!J740)</f>
        <v/>
      </c>
    </row>
    <row r="741" spans="1:10" ht="23.1" customHeight="1">
      <c r="A741" s="1" t="str">
        <f>IF(ISNUMBER(Lançamentos!A741),Lançamentos!A741,"")</f>
        <v/>
      </c>
      <c r="B741" s="1" t="str">
        <f>IF(Lançamentos!B741="","",Lançamentos!B741)</f>
        <v/>
      </c>
      <c r="C741" s="12" t="str">
        <f>IF(ISNUMBER(Lançamentos!C741),Lançamentos!C741,"")</f>
        <v/>
      </c>
      <c r="D741" s="10" t="str">
        <f>IF(A741="","",SUM(Lançamentos!D$9:D741))</f>
        <v/>
      </c>
      <c r="E741" s="1"/>
      <c r="F741" s="11" t="str">
        <f>IF(A741="","",SUM(Lançamentos!F$9:F741))</f>
        <v/>
      </c>
      <c r="G741" s="11" t="str">
        <f>IF(A741="","",SUM(Lançamentos!G$9:G741))</f>
        <v/>
      </c>
      <c r="H741" s="11" t="str">
        <f>IF(A741="","",SUM(Lançamentos!H$9:H741))</f>
        <v/>
      </c>
      <c r="I741" s="12" t="str">
        <f>IF(A741="","",SUM(Lançamentos!C$9:C741))</f>
        <v/>
      </c>
      <c r="J741" s="13" t="str">
        <f>IF(Lançamentos!J741="","",Lançamentos!J741)</f>
        <v/>
      </c>
    </row>
    <row r="742" spans="1:10" ht="23.1" customHeight="1">
      <c r="A742" s="1" t="str">
        <f>IF(ISNUMBER(Lançamentos!A742),Lançamentos!A742,"")</f>
        <v/>
      </c>
      <c r="B742" s="1" t="str">
        <f>IF(Lançamentos!B742="","",Lançamentos!B742)</f>
        <v/>
      </c>
      <c r="C742" s="12" t="str">
        <f>IF(ISNUMBER(Lançamentos!C742),Lançamentos!C742,"")</f>
        <v/>
      </c>
      <c r="D742" s="10" t="str">
        <f>IF(A742="","",SUM(Lançamentos!D$9:D742))</f>
        <v/>
      </c>
      <c r="E742" s="1"/>
      <c r="F742" s="11" t="str">
        <f>IF(A742="","",SUM(Lançamentos!F$9:F742))</f>
        <v/>
      </c>
      <c r="G742" s="11" t="str">
        <f>IF(A742="","",SUM(Lançamentos!G$9:G742))</f>
        <v/>
      </c>
      <c r="H742" s="11" t="str">
        <f>IF(A742="","",SUM(Lançamentos!H$9:H742))</f>
        <v/>
      </c>
      <c r="I742" s="12" t="str">
        <f>IF(A742="","",SUM(Lançamentos!C$9:C742))</f>
        <v/>
      </c>
      <c r="J742" s="13" t="str">
        <f>IF(Lançamentos!J742="","",Lançamentos!J742)</f>
        <v/>
      </c>
    </row>
    <row r="743" spans="1:10" ht="23.1" customHeight="1">
      <c r="A743" s="1" t="str">
        <f>IF(ISNUMBER(Lançamentos!A743),Lançamentos!A743,"")</f>
        <v/>
      </c>
      <c r="B743" s="1" t="str">
        <f>IF(Lançamentos!B743="","",Lançamentos!B743)</f>
        <v/>
      </c>
      <c r="C743" s="12" t="str">
        <f>IF(ISNUMBER(Lançamentos!C743),Lançamentos!C743,"")</f>
        <v/>
      </c>
      <c r="D743" s="10" t="str">
        <f>IF(A743="","",SUM(Lançamentos!D$9:D743))</f>
        <v/>
      </c>
      <c r="E743" s="1"/>
      <c r="F743" s="11" t="str">
        <f>IF(A743="","",SUM(Lançamentos!F$9:F743))</f>
        <v/>
      </c>
      <c r="G743" s="11" t="str">
        <f>IF(A743="","",SUM(Lançamentos!G$9:G743))</f>
        <v/>
      </c>
      <c r="H743" s="11" t="str">
        <f>IF(A743="","",SUM(Lançamentos!H$9:H743))</f>
        <v/>
      </c>
      <c r="I743" s="12" t="str">
        <f>IF(A743="","",SUM(Lançamentos!C$9:C743))</f>
        <v/>
      </c>
      <c r="J743" s="13" t="str">
        <f>IF(Lançamentos!J743="","",Lançamentos!J743)</f>
        <v/>
      </c>
    </row>
    <row r="744" spans="1:10" ht="23.1" customHeight="1">
      <c r="A744" s="1" t="str">
        <f>IF(ISNUMBER(Lançamentos!A744),Lançamentos!A744,"")</f>
        <v/>
      </c>
      <c r="B744" s="1" t="str">
        <f>IF(Lançamentos!B744="","",Lançamentos!B744)</f>
        <v/>
      </c>
      <c r="C744" s="12" t="str">
        <f>IF(ISNUMBER(Lançamentos!C744),Lançamentos!C744,"")</f>
        <v/>
      </c>
      <c r="D744" s="10" t="str">
        <f>IF(A744="","",SUM(Lançamentos!D$9:D744))</f>
        <v/>
      </c>
      <c r="E744" s="1"/>
      <c r="F744" s="11" t="str">
        <f>IF(A744="","",SUM(Lançamentos!F$9:F744))</f>
        <v/>
      </c>
      <c r="G744" s="11" t="str">
        <f>IF(A744="","",SUM(Lançamentos!G$9:G744))</f>
        <v/>
      </c>
      <c r="H744" s="11" t="str">
        <f>IF(A744="","",SUM(Lançamentos!H$9:H744))</f>
        <v/>
      </c>
      <c r="I744" s="12" t="str">
        <f>IF(A744="","",SUM(Lançamentos!C$9:C744))</f>
        <v/>
      </c>
      <c r="J744" s="13" t="str">
        <f>IF(Lançamentos!J744="","",Lançamentos!J744)</f>
        <v/>
      </c>
    </row>
    <row r="745" spans="1:10" ht="23.1" customHeight="1">
      <c r="A745" s="1" t="str">
        <f>IF(ISNUMBER(Lançamentos!A745),Lançamentos!A745,"")</f>
        <v/>
      </c>
      <c r="B745" s="1" t="str">
        <f>IF(Lançamentos!B745="","",Lançamentos!B745)</f>
        <v/>
      </c>
      <c r="C745" s="12" t="str">
        <f>IF(ISNUMBER(Lançamentos!C745),Lançamentos!C745,"")</f>
        <v/>
      </c>
      <c r="D745" s="10" t="str">
        <f>IF(A745="","",SUM(Lançamentos!D$9:D745))</f>
        <v/>
      </c>
      <c r="E745" s="1"/>
      <c r="F745" s="11" t="str">
        <f>IF(A745="","",SUM(Lançamentos!F$9:F745))</f>
        <v/>
      </c>
      <c r="G745" s="11" t="str">
        <f>IF(A745="","",SUM(Lançamentos!G$9:G745))</f>
        <v/>
      </c>
      <c r="H745" s="11" t="str">
        <f>IF(A745="","",SUM(Lançamentos!H$9:H745))</f>
        <v/>
      </c>
      <c r="I745" s="12" t="str">
        <f>IF(A745="","",SUM(Lançamentos!C$9:C745))</f>
        <v/>
      </c>
      <c r="J745" s="13" t="str">
        <f>IF(Lançamentos!J745="","",Lançamentos!J745)</f>
        <v/>
      </c>
    </row>
    <row r="746" spans="1:10" ht="23.1" customHeight="1">
      <c r="A746" s="1" t="str">
        <f>IF(ISNUMBER(Lançamentos!A746),Lançamentos!A746,"")</f>
        <v/>
      </c>
      <c r="B746" s="1" t="str">
        <f>IF(Lançamentos!B746="","",Lançamentos!B746)</f>
        <v/>
      </c>
      <c r="C746" s="12" t="str">
        <f>IF(ISNUMBER(Lançamentos!C746),Lançamentos!C746,"")</f>
        <v/>
      </c>
      <c r="D746" s="10" t="str">
        <f>IF(A746="","",SUM(Lançamentos!D$9:D746))</f>
        <v/>
      </c>
      <c r="E746" s="1"/>
      <c r="F746" s="11" t="str">
        <f>IF(A746="","",SUM(Lançamentos!F$9:F746))</f>
        <v/>
      </c>
      <c r="G746" s="11" t="str">
        <f>IF(A746="","",SUM(Lançamentos!G$9:G746))</f>
        <v/>
      </c>
      <c r="H746" s="11" t="str">
        <f>IF(A746="","",SUM(Lançamentos!H$9:H746))</f>
        <v/>
      </c>
      <c r="I746" s="12" t="str">
        <f>IF(A746="","",SUM(Lançamentos!C$9:C746))</f>
        <v/>
      </c>
      <c r="J746" s="13" t="str">
        <f>IF(Lançamentos!J746="","",Lançamentos!J746)</f>
        <v/>
      </c>
    </row>
    <row r="747" spans="1:10" ht="23.1" customHeight="1">
      <c r="A747" s="1" t="str">
        <f>IF(ISNUMBER(Lançamentos!A747),Lançamentos!A747,"")</f>
        <v/>
      </c>
      <c r="B747" s="1" t="str">
        <f>IF(Lançamentos!B747="","",Lançamentos!B747)</f>
        <v/>
      </c>
      <c r="C747" s="12" t="str">
        <f>IF(ISNUMBER(Lançamentos!C747),Lançamentos!C747,"")</f>
        <v/>
      </c>
      <c r="D747" s="10" t="str">
        <f>IF(A747="","",SUM(Lançamentos!D$9:D747))</f>
        <v/>
      </c>
      <c r="E747" s="1"/>
      <c r="F747" s="11" t="str">
        <f>IF(A747="","",SUM(Lançamentos!F$9:F747))</f>
        <v/>
      </c>
      <c r="G747" s="11" t="str">
        <f>IF(A747="","",SUM(Lançamentos!G$9:G747))</f>
        <v/>
      </c>
      <c r="H747" s="11" t="str">
        <f>IF(A747="","",SUM(Lançamentos!H$9:H747))</f>
        <v/>
      </c>
      <c r="I747" s="12" t="str">
        <f>IF(A747="","",SUM(Lançamentos!C$9:C747))</f>
        <v/>
      </c>
      <c r="J747" s="13" t="str">
        <f>IF(Lançamentos!J747="","",Lançamentos!J747)</f>
        <v/>
      </c>
    </row>
    <row r="748" spans="1:10" ht="23.1" customHeight="1">
      <c r="A748" s="1" t="str">
        <f>IF(ISNUMBER(Lançamentos!A748),Lançamentos!A748,"")</f>
        <v/>
      </c>
      <c r="B748" s="1" t="str">
        <f>IF(Lançamentos!B748="","",Lançamentos!B748)</f>
        <v/>
      </c>
      <c r="C748" s="12" t="str">
        <f>IF(ISNUMBER(Lançamentos!C748),Lançamentos!C748,"")</f>
        <v/>
      </c>
      <c r="D748" s="10" t="str">
        <f>IF(A748="","",SUM(Lançamentos!D$9:D748))</f>
        <v/>
      </c>
      <c r="E748" s="1"/>
      <c r="F748" s="11" t="str">
        <f>IF(A748="","",SUM(Lançamentos!F$9:F748))</f>
        <v/>
      </c>
      <c r="G748" s="11" t="str">
        <f>IF(A748="","",SUM(Lançamentos!G$9:G748))</f>
        <v/>
      </c>
      <c r="H748" s="11" t="str">
        <f>IF(A748="","",SUM(Lançamentos!H$9:H748))</f>
        <v/>
      </c>
      <c r="I748" s="12" t="str">
        <f>IF(A748="","",SUM(Lançamentos!C$9:C748))</f>
        <v/>
      </c>
      <c r="J748" s="13" t="str">
        <f>IF(Lançamentos!J748="","",Lançamentos!J748)</f>
        <v/>
      </c>
    </row>
    <row r="749" spans="1:10" ht="23.1" customHeight="1">
      <c r="A749" s="1" t="str">
        <f>IF(ISNUMBER(Lançamentos!A749),Lançamentos!A749,"")</f>
        <v/>
      </c>
      <c r="B749" s="1" t="str">
        <f>IF(Lançamentos!B749="","",Lançamentos!B749)</f>
        <v/>
      </c>
      <c r="C749" s="12" t="str">
        <f>IF(ISNUMBER(Lançamentos!C749),Lançamentos!C749,"")</f>
        <v/>
      </c>
      <c r="D749" s="10" t="str">
        <f>IF(A749="","",SUM(Lançamentos!D$9:D749))</f>
        <v/>
      </c>
      <c r="E749" s="1"/>
      <c r="F749" s="11" t="str">
        <f>IF(A749="","",SUM(Lançamentos!F$9:F749))</f>
        <v/>
      </c>
      <c r="G749" s="11" t="str">
        <f>IF(A749="","",SUM(Lançamentos!G$9:G749))</f>
        <v/>
      </c>
      <c r="H749" s="11" t="str">
        <f>IF(A749="","",SUM(Lançamentos!H$9:H749))</f>
        <v/>
      </c>
      <c r="I749" s="12" t="str">
        <f>IF(A749="","",SUM(Lançamentos!C$9:C749))</f>
        <v/>
      </c>
      <c r="J749" s="13" t="str">
        <f>IF(Lançamentos!J749="","",Lançamentos!J749)</f>
        <v/>
      </c>
    </row>
    <row r="750" spans="1:10" ht="23.1" customHeight="1">
      <c r="A750" s="1" t="str">
        <f>IF(ISNUMBER(Lançamentos!A750),Lançamentos!A750,"")</f>
        <v/>
      </c>
      <c r="B750" s="1" t="str">
        <f>IF(Lançamentos!B750="","",Lançamentos!B750)</f>
        <v/>
      </c>
      <c r="C750" s="12" t="str">
        <f>IF(ISNUMBER(Lançamentos!C750),Lançamentos!C750,"")</f>
        <v/>
      </c>
      <c r="D750" s="10" t="str">
        <f>IF(A750="","",SUM(Lançamentos!D$9:D750))</f>
        <v/>
      </c>
      <c r="E750" s="1"/>
      <c r="F750" s="11" t="str">
        <f>IF(A750="","",SUM(Lançamentos!F$9:F750))</f>
        <v/>
      </c>
      <c r="G750" s="11" t="str">
        <f>IF(A750="","",SUM(Lançamentos!G$9:G750))</f>
        <v/>
      </c>
      <c r="H750" s="11" t="str">
        <f>IF(A750="","",SUM(Lançamentos!H$9:H750))</f>
        <v/>
      </c>
      <c r="I750" s="12" t="str">
        <f>IF(A750="","",SUM(Lançamentos!C$9:C750))</f>
        <v/>
      </c>
      <c r="J750" s="13" t="str">
        <f>IF(Lançamentos!J750="","",Lançamentos!J750)</f>
        <v/>
      </c>
    </row>
    <row r="751" spans="1:10" ht="23.1" customHeight="1">
      <c r="A751" s="1" t="str">
        <f>IF(ISNUMBER(Lançamentos!A751),Lançamentos!A751,"")</f>
        <v/>
      </c>
      <c r="B751" s="1" t="str">
        <f>IF(Lançamentos!B751="","",Lançamentos!B751)</f>
        <v/>
      </c>
      <c r="C751" s="12" t="str">
        <f>IF(ISNUMBER(Lançamentos!C751),Lançamentos!C751,"")</f>
        <v/>
      </c>
      <c r="D751" s="10" t="str">
        <f>IF(A751="","",SUM(Lançamentos!D$9:D751))</f>
        <v/>
      </c>
      <c r="E751" s="1"/>
      <c r="F751" s="11" t="str">
        <f>IF(A751="","",SUM(Lançamentos!F$9:F751))</f>
        <v/>
      </c>
      <c r="G751" s="11" t="str">
        <f>IF(A751="","",SUM(Lançamentos!G$9:G751))</f>
        <v/>
      </c>
      <c r="H751" s="11" t="str">
        <f>IF(A751="","",SUM(Lançamentos!H$9:H751))</f>
        <v/>
      </c>
      <c r="I751" s="12" t="str">
        <f>IF(A751="","",SUM(Lançamentos!C$9:C751))</f>
        <v/>
      </c>
      <c r="J751" s="13" t="str">
        <f>IF(Lançamentos!J751="","",Lançamentos!J751)</f>
        <v/>
      </c>
    </row>
    <row r="752" spans="1:10" ht="23.1" customHeight="1">
      <c r="A752" s="1" t="str">
        <f>IF(ISNUMBER(Lançamentos!A752),Lançamentos!A752,"")</f>
        <v/>
      </c>
      <c r="B752" s="1" t="str">
        <f>IF(Lançamentos!B752="","",Lançamentos!B752)</f>
        <v/>
      </c>
      <c r="C752" s="12" t="str">
        <f>IF(ISNUMBER(Lançamentos!C752),Lançamentos!C752,"")</f>
        <v/>
      </c>
      <c r="D752" s="10" t="str">
        <f>IF(A752="","",SUM(Lançamentos!D$9:D752))</f>
        <v/>
      </c>
      <c r="E752" s="1"/>
      <c r="F752" s="11" t="str">
        <f>IF(A752="","",SUM(Lançamentos!F$9:F752))</f>
        <v/>
      </c>
      <c r="G752" s="11" t="str">
        <f>IF(A752="","",SUM(Lançamentos!G$9:G752))</f>
        <v/>
      </c>
      <c r="H752" s="11" t="str">
        <f>IF(A752="","",SUM(Lançamentos!H$9:H752))</f>
        <v/>
      </c>
      <c r="I752" s="12" t="str">
        <f>IF(A752="","",SUM(Lançamentos!C$9:C752))</f>
        <v/>
      </c>
      <c r="J752" s="13" t="str">
        <f>IF(Lançamentos!J752="","",Lançamentos!J752)</f>
        <v/>
      </c>
    </row>
    <row r="753" spans="1:10" ht="23.1" customHeight="1">
      <c r="A753" s="1" t="str">
        <f>IF(ISNUMBER(Lançamentos!A753),Lançamentos!A753,"")</f>
        <v/>
      </c>
      <c r="B753" s="1" t="str">
        <f>IF(Lançamentos!B753="","",Lançamentos!B753)</f>
        <v/>
      </c>
      <c r="C753" s="12" t="str">
        <f>IF(ISNUMBER(Lançamentos!C753),Lançamentos!C753,"")</f>
        <v/>
      </c>
      <c r="D753" s="10" t="str">
        <f>IF(A753="","",SUM(Lançamentos!D$9:D753))</f>
        <v/>
      </c>
      <c r="E753" s="1"/>
      <c r="F753" s="11" t="str">
        <f>IF(A753="","",SUM(Lançamentos!F$9:F753))</f>
        <v/>
      </c>
      <c r="G753" s="11" t="str">
        <f>IF(A753="","",SUM(Lançamentos!G$9:G753))</f>
        <v/>
      </c>
      <c r="H753" s="11" t="str">
        <f>IF(A753="","",SUM(Lançamentos!H$9:H753))</f>
        <v/>
      </c>
      <c r="I753" s="12" t="str">
        <f>IF(A753="","",SUM(Lançamentos!C$9:C753))</f>
        <v/>
      </c>
      <c r="J753" s="13" t="str">
        <f>IF(Lançamentos!J753="","",Lançamentos!J753)</f>
        <v/>
      </c>
    </row>
    <row r="754" spans="1:10" ht="23.1" customHeight="1">
      <c r="A754" s="1" t="str">
        <f>IF(ISNUMBER(Lançamentos!A754),Lançamentos!A754,"")</f>
        <v/>
      </c>
      <c r="B754" s="1" t="str">
        <f>IF(Lançamentos!B754="","",Lançamentos!B754)</f>
        <v/>
      </c>
      <c r="C754" s="12" t="str">
        <f>IF(ISNUMBER(Lançamentos!C754),Lançamentos!C754,"")</f>
        <v/>
      </c>
      <c r="D754" s="10" t="str">
        <f>IF(A754="","",SUM(Lançamentos!D$9:D754))</f>
        <v/>
      </c>
      <c r="E754" s="1"/>
      <c r="F754" s="11" t="str">
        <f>IF(A754="","",SUM(Lançamentos!F$9:F754))</f>
        <v/>
      </c>
      <c r="G754" s="11" t="str">
        <f>IF(A754="","",SUM(Lançamentos!G$9:G754))</f>
        <v/>
      </c>
      <c r="H754" s="11" t="str">
        <f>IF(A754="","",SUM(Lançamentos!H$9:H754))</f>
        <v/>
      </c>
      <c r="I754" s="12" t="str">
        <f>IF(A754="","",SUM(Lançamentos!C$9:C754))</f>
        <v/>
      </c>
      <c r="J754" s="13" t="str">
        <f>IF(Lançamentos!J754="","",Lançamentos!J754)</f>
        <v/>
      </c>
    </row>
    <row r="755" spans="1:10" ht="23.1" customHeight="1">
      <c r="A755" s="1" t="str">
        <f>IF(ISNUMBER(Lançamentos!A755),Lançamentos!A755,"")</f>
        <v/>
      </c>
      <c r="B755" s="1" t="str">
        <f>IF(Lançamentos!B755="","",Lançamentos!B755)</f>
        <v/>
      </c>
      <c r="C755" s="12" t="str">
        <f>IF(ISNUMBER(Lançamentos!C755),Lançamentos!C755,"")</f>
        <v/>
      </c>
      <c r="D755" s="10" t="str">
        <f>IF(A755="","",SUM(Lançamentos!D$9:D755))</f>
        <v/>
      </c>
      <c r="E755" s="1"/>
      <c r="F755" s="11" t="str">
        <f>IF(A755="","",SUM(Lançamentos!F$9:F755))</f>
        <v/>
      </c>
      <c r="G755" s="11" t="str">
        <f>IF(A755="","",SUM(Lançamentos!G$9:G755))</f>
        <v/>
      </c>
      <c r="H755" s="11" t="str">
        <f>IF(A755="","",SUM(Lançamentos!H$9:H755))</f>
        <v/>
      </c>
      <c r="I755" s="12" t="str">
        <f>IF(A755="","",SUM(Lançamentos!C$9:C755))</f>
        <v/>
      </c>
      <c r="J755" s="13" t="str">
        <f>IF(Lançamentos!J755="","",Lançamentos!J755)</f>
        <v/>
      </c>
    </row>
    <row r="756" spans="1:10" ht="23.1" customHeight="1">
      <c r="A756" s="1" t="str">
        <f>IF(ISNUMBER(Lançamentos!A756),Lançamentos!A756,"")</f>
        <v/>
      </c>
      <c r="B756" s="1" t="str">
        <f>IF(Lançamentos!B756="","",Lançamentos!B756)</f>
        <v/>
      </c>
      <c r="C756" s="12" t="str">
        <f>IF(ISNUMBER(Lançamentos!C756),Lançamentos!C756,"")</f>
        <v/>
      </c>
      <c r="D756" s="10" t="str">
        <f>IF(A756="","",SUM(Lançamentos!D$9:D756))</f>
        <v/>
      </c>
      <c r="E756" s="1"/>
      <c r="F756" s="11" t="str">
        <f>IF(A756="","",SUM(Lançamentos!F$9:F756))</f>
        <v/>
      </c>
      <c r="G756" s="11" t="str">
        <f>IF(A756="","",SUM(Lançamentos!G$9:G756))</f>
        <v/>
      </c>
      <c r="H756" s="11" t="str">
        <f>IF(A756="","",SUM(Lançamentos!H$9:H756))</f>
        <v/>
      </c>
      <c r="I756" s="12" t="str">
        <f>IF(A756="","",SUM(Lançamentos!C$9:C756))</f>
        <v/>
      </c>
      <c r="J756" s="13" t="str">
        <f>IF(Lançamentos!J756="","",Lançamentos!J756)</f>
        <v/>
      </c>
    </row>
    <row r="757" spans="1:10" ht="23.1" customHeight="1">
      <c r="A757" s="1" t="str">
        <f>IF(ISNUMBER(Lançamentos!A757),Lançamentos!A757,"")</f>
        <v/>
      </c>
      <c r="B757" s="1" t="str">
        <f>IF(Lançamentos!B757="","",Lançamentos!B757)</f>
        <v/>
      </c>
      <c r="C757" s="12" t="str">
        <f>IF(ISNUMBER(Lançamentos!C757),Lançamentos!C757,"")</f>
        <v/>
      </c>
      <c r="D757" s="10" t="str">
        <f>IF(A757="","",SUM(Lançamentos!D$9:D757))</f>
        <v/>
      </c>
      <c r="E757" s="1"/>
      <c r="F757" s="11" t="str">
        <f>IF(A757="","",SUM(Lançamentos!F$9:F757))</f>
        <v/>
      </c>
      <c r="G757" s="11" t="str">
        <f>IF(A757="","",SUM(Lançamentos!G$9:G757))</f>
        <v/>
      </c>
      <c r="H757" s="11" t="str">
        <f>IF(A757="","",SUM(Lançamentos!H$9:H757))</f>
        <v/>
      </c>
      <c r="I757" s="12" t="str">
        <f>IF(A757="","",SUM(Lançamentos!C$9:C757))</f>
        <v/>
      </c>
      <c r="J757" s="13" t="str">
        <f>IF(Lançamentos!J757="","",Lançamentos!J757)</f>
        <v/>
      </c>
    </row>
    <row r="758" spans="1:10" ht="23.1" customHeight="1">
      <c r="A758" s="1" t="str">
        <f>IF(ISNUMBER(Lançamentos!A758),Lançamentos!A758,"")</f>
        <v/>
      </c>
      <c r="B758" s="1" t="str">
        <f>IF(Lançamentos!B758="","",Lançamentos!B758)</f>
        <v/>
      </c>
      <c r="C758" s="12" t="str">
        <f>IF(ISNUMBER(Lançamentos!C758),Lançamentos!C758,"")</f>
        <v/>
      </c>
      <c r="D758" s="10" t="str">
        <f>IF(A758="","",SUM(Lançamentos!D$9:D758))</f>
        <v/>
      </c>
      <c r="E758" s="1"/>
      <c r="F758" s="11" t="str">
        <f>IF(A758="","",SUM(Lançamentos!F$9:F758))</f>
        <v/>
      </c>
      <c r="G758" s="11" t="str">
        <f>IF(A758="","",SUM(Lançamentos!G$9:G758))</f>
        <v/>
      </c>
      <c r="H758" s="11" t="str">
        <f>IF(A758="","",SUM(Lançamentos!H$9:H758))</f>
        <v/>
      </c>
      <c r="I758" s="12" t="str">
        <f>IF(A758="","",SUM(Lançamentos!C$9:C758))</f>
        <v/>
      </c>
      <c r="J758" s="13" t="str">
        <f>IF(Lançamentos!J758="","",Lançamentos!J758)</f>
        <v/>
      </c>
    </row>
    <row r="759" spans="1:10" ht="23.1" customHeight="1">
      <c r="A759" s="1" t="str">
        <f>IF(ISNUMBER(Lançamentos!A759),Lançamentos!A759,"")</f>
        <v/>
      </c>
      <c r="B759" s="1" t="str">
        <f>IF(Lançamentos!B759="","",Lançamentos!B759)</f>
        <v/>
      </c>
      <c r="C759" s="12" t="str">
        <f>IF(ISNUMBER(Lançamentos!C759),Lançamentos!C759,"")</f>
        <v/>
      </c>
      <c r="D759" s="10" t="str">
        <f>IF(A759="","",SUM(Lançamentos!D$9:D759))</f>
        <v/>
      </c>
      <c r="E759" s="1"/>
      <c r="F759" s="11" t="str">
        <f>IF(A759="","",SUM(Lançamentos!F$9:F759))</f>
        <v/>
      </c>
      <c r="G759" s="11" t="str">
        <f>IF(A759="","",SUM(Lançamentos!G$9:G759))</f>
        <v/>
      </c>
      <c r="H759" s="11" t="str">
        <f>IF(A759="","",SUM(Lançamentos!H$9:H759))</f>
        <v/>
      </c>
      <c r="I759" s="12" t="str">
        <f>IF(A759="","",SUM(Lançamentos!C$9:C759))</f>
        <v/>
      </c>
      <c r="J759" s="13" t="str">
        <f>IF(Lançamentos!J759="","",Lançamentos!J759)</f>
        <v/>
      </c>
    </row>
    <row r="760" spans="1:10" ht="23.1" customHeight="1">
      <c r="A760" s="1" t="str">
        <f>IF(ISNUMBER(Lançamentos!A760),Lançamentos!A760,"")</f>
        <v/>
      </c>
      <c r="B760" s="1" t="str">
        <f>IF(Lançamentos!B760="","",Lançamentos!B760)</f>
        <v/>
      </c>
      <c r="C760" s="12" t="str">
        <f>IF(ISNUMBER(Lançamentos!C760),Lançamentos!C760,"")</f>
        <v/>
      </c>
      <c r="D760" s="10" t="str">
        <f>IF(A760="","",SUM(Lançamentos!D$9:D760))</f>
        <v/>
      </c>
      <c r="E760" s="1"/>
      <c r="F760" s="11" t="str">
        <f>IF(A760="","",SUM(Lançamentos!F$9:F760))</f>
        <v/>
      </c>
      <c r="G760" s="11" t="str">
        <f>IF(A760="","",SUM(Lançamentos!G$9:G760))</f>
        <v/>
      </c>
      <c r="H760" s="11" t="str">
        <f>IF(A760="","",SUM(Lançamentos!H$9:H760))</f>
        <v/>
      </c>
      <c r="I760" s="12" t="str">
        <f>IF(A760="","",SUM(Lançamentos!C$9:C760))</f>
        <v/>
      </c>
      <c r="J760" s="13" t="str">
        <f>IF(Lançamentos!J760="","",Lançamentos!J760)</f>
        <v/>
      </c>
    </row>
    <row r="761" spans="1:10" ht="23.1" customHeight="1">
      <c r="A761" s="1" t="str">
        <f>IF(ISNUMBER(Lançamentos!A761),Lançamentos!A761,"")</f>
        <v/>
      </c>
      <c r="B761" s="1" t="str">
        <f>IF(Lançamentos!B761="","",Lançamentos!B761)</f>
        <v/>
      </c>
      <c r="C761" s="12" t="str">
        <f>IF(ISNUMBER(Lançamentos!C761),Lançamentos!C761,"")</f>
        <v/>
      </c>
      <c r="D761" s="10" t="str">
        <f>IF(A761="","",SUM(Lançamentos!D$9:D761))</f>
        <v/>
      </c>
      <c r="E761" s="1"/>
      <c r="F761" s="11" t="str">
        <f>IF(A761="","",SUM(Lançamentos!F$9:F761))</f>
        <v/>
      </c>
      <c r="G761" s="11" t="str">
        <f>IF(A761="","",SUM(Lançamentos!G$9:G761))</f>
        <v/>
      </c>
      <c r="H761" s="11" t="str">
        <f>IF(A761="","",SUM(Lançamentos!H$9:H761))</f>
        <v/>
      </c>
      <c r="I761" s="12" t="str">
        <f>IF(A761="","",SUM(Lançamentos!C$9:C761))</f>
        <v/>
      </c>
      <c r="J761" s="13" t="str">
        <f>IF(Lançamentos!J761="","",Lançamentos!J761)</f>
        <v/>
      </c>
    </row>
    <row r="762" spans="1:10" ht="23.1" customHeight="1">
      <c r="A762" s="1" t="str">
        <f>IF(ISNUMBER(Lançamentos!A762),Lançamentos!A762,"")</f>
        <v/>
      </c>
      <c r="B762" s="1" t="str">
        <f>IF(Lançamentos!B762="","",Lançamentos!B762)</f>
        <v/>
      </c>
      <c r="C762" s="12" t="str">
        <f>IF(ISNUMBER(Lançamentos!C762),Lançamentos!C762,"")</f>
        <v/>
      </c>
      <c r="D762" s="10" t="str">
        <f>IF(A762="","",SUM(Lançamentos!D$9:D762))</f>
        <v/>
      </c>
      <c r="E762" s="1"/>
      <c r="F762" s="11" t="str">
        <f>IF(A762="","",SUM(Lançamentos!F$9:F762))</f>
        <v/>
      </c>
      <c r="G762" s="11" t="str">
        <f>IF(A762="","",SUM(Lançamentos!G$9:G762))</f>
        <v/>
      </c>
      <c r="H762" s="11" t="str">
        <f>IF(A762="","",SUM(Lançamentos!H$9:H762))</f>
        <v/>
      </c>
      <c r="I762" s="12" t="str">
        <f>IF(A762="","",SUM(Lançamentos!C$9:C762))</f>
        <v/>
      </c>
      <c r="J762" s="13" t="str">
        <f>IF(Lançamentos!J762="","",Lançamentos!J762)</f>
        <v/>
      </c>
    </row>
    <row r="763" spans="1:10" ht="23.1" customHeight="1">
      <c r="A763" s="1" t="str">
        <f>IF(ISNUMBER(Lançamentos!A763),Lançamentos!A763,"")</f>
        <v/>
      </c>
      <c r="B763" s="1" t="str">
        <f>IF(Lançamentos!B763="","",Lançamentos!B763)</f>
        <v/>
      </c>
      <c r="C763" s="12" t="str">
        <f>IF(ISNUMBER(Lançamentos!C763),Lançamentos!C763,"")</f>
        <v/>
      </c>
      <c r="D763" s="10" t="str">
        <f>IF(A763="","",SUM(Lançamentos!D$9:D763))</f>
        <v/>
      </c>
      <c r="E763" s="1"/>
      <c r="F763" s="11" t="str">
        <f>IF(A763="","",SUM(Lançamentos!F$9:F763))</f>
        <v/>
      </c>
      <c r="G763" s="11" t="str">
        <f>IF(A763="","",SUM(Lançamentos!G$9:G763))</f>
        <v/>
      </c>
      <c r="H763" s="11" t="str">
        <f>IF(A763="","",SUM(Lançamentos!H$9:H763))</f>
        <v/>
      </c>
      <c r="I763" s="12" t="str">
        <f>IF(A763="","",SUM(Lançamentos!C$9:C763))</f>
        <v/>
      </c>
      <c r="J763" s="13" t="str">
        <f>IF(Lançamentos!J763="","",Lançamentos!J763)</f>
        <v/>
      </c>
    </row>
    <row r="764" spans="1:10" ht="23.1" customHeight="1">
      <c r="A764" s="1" t="str">
        <f>IF(ISNUMBER(Lançamentos!A764),Lançamentos!A764,"")</f>
        <v/>
      </c>
      <c r="B764" s="1" t="str">
        <f>IF(Lançamentos!B764="","",Lançamentos!B764)</f>
        <v/>
      </c>
      <c r="C764" s="12" t="str">
        <f>IF(ISNUMBER(Lançamentos!C764),Lançamentos!C764,"")</f>
        <v/>
      </c>
      <c r="D764" s="10" t="str">
        <f>IF(A764="","",SUM(Lançamentos!D$9:D764))</f>
        <v/>
      </c>
      <c r="E764" s="1"/>
      <c r="F764" s="11" t="str">
        <f>IF(A764="","",SUM(Lançamentos!F$9:F764))</f>
        <v/>
      </c>
      <c r="G764" s="11" t="str">
        <f>IF(A764="","",SUM(Lançamentos!G$9:G764))</f>
        <v/>
      </c>
      <c r="H764" s="11" t="str">
        <f>IF(A764="","",SUM(Lançamentos!H$9:H764))</f>
        <v/>
      </c>
      <c r="I764" s="12" t="str">
        <f>IF(A764="","",SUM(Lançamentos!C$9:C764))</f>
        <v/>
      </c>
      <c r="J764" s="13" t="str">
        <f>IF(Lançamentos!J764="","",Lançamentos!J764)</f>
        <v/>
      </c>
    </row>
    <row r="765" spans="1:10" ht="23.1" customHeight="1">
      <c r="A765" s="1" t="str">
        <f>IF(ISNUMBER(Lançamentos!A765),Lançamentos!A765,"")</f>
        <v/>
      </c>
      <c r="B765" s="1" t="str">
        <f>IF(Lançamentos!B765="","",Lançamentos!B765)</f>
        <v/>
      </c>
      <c r="C765" s="12" t="str">
        <f>IF(ISNUMBER(Lançamentos!C765),Lançamentos!C765,"")</f>
        <v/>
      </c>
      <c r="D765" s="10" t="str">
        <f>IF(A765="","",SUM(Lançamentos!D$9:D765))</f>
        <v/>
      </c>
      <c r="E765" s="1"/>
      <c r="F765" s="11" t="str">
        <f>IF(A765="","",SUM(Lançamentos!F$9:F765))</f>
        <v/>
      </c>
      <c r="G765" s="11" t="str">
        <f>IF(A765="","",SUM(Lançamentos!G$9:G765))</f>
        <v/>
      </c>
      <c r="H765" s="11" t="str">
        <f>IF(A765="","",SUM(Lançamentos!H$9:H765))</f>
        <v/>
      </c>
      <c r="I765" s="12" t="str">
        <f>IF(A765="","",SUM(Lançamentos!C$9:C765))</f>
        <v/>
      </c>
      <c r="J765" s="13" t="str">
        <f>IF(Lançamentos!J765="","",Lançamentos!J765)</f>
        <v/>
      </c>
    </row>
    <row r="766" spans="1:10" ht="23.1" customHeight="1">
      <c r="A766" s="1" t="str">
        <f>IF(ISNUMBER(Lançamentos!A766),Lançamentos!A766,"")</f>
        <v/>
      </c>
      <c r="B766" s="1" t="str">
        <f>IF(Lançamentos!B766="","",Lançamentos!B766)</f>
        <v/>
      </c>
      <c r="C766" s="12" t="str">
        <f>IF(ISNUMBER(Lançamentos!C766),Lançamentos!C766,"")</f>
        <v/>
      </c>
      <c r="D766" s="10" t="str">
        <f>IF(A766="","",SUM(Lançamentos!D$9:D766))</f>
        <v/>
      </c>
      <c r="E766" s="1"/>
      <c r="F766" s="11" t="str">
        <f>IF(A766="","",SUM(Lançamentos!F$9:F766))</f>
        <v/>
      </c>
      <c r="G766" s="11" t="str">
        <f>IF(A766="","",SUM(Lançamentos!G$9:G766))</f>
        <v/>
      </c>
      <c r="H766" s="11" t="str">
        <f>IF(A766="","",SUM(Lançamentos!H$9:H766))</f>
        <v/>
      </c>
      <c r="I766" s="12" t="str">
        <f>IF(A766="","",SUM(Lançamentos!C$9:C766))</f>
        <v/>
      </c>
      <c r="J766" s="13" t="str">
        <f>IF(Lançamentos!J766="","",Lançamentos!J766)</f>
        <v/>
      </c>
    </row>
    <row r="767" spans="1:10" ht="23.1" customHeight="1">
      <c r="A767" s="1" t="str">
        <f>IF(ISNUMBER(Lançamentos!A767),Lançamentos!A767,"")</f>
        <v/>
      </c>
      <c r="B767" s="1" t="str">
        <f>IF(Lançamentos!B767="","",Lançamentos!B767)</f>
        <v/>
      </c>
      <c r="C767" s="12" t="str">
        <f>IF(ISNUMBER(Lançamentos!C767),Lançamentos!C767,"")</f>
        <v/>
      </c>
      <c r="D767" s="10" t="str">
        <f>IF(A767="","",SUM(Lançamentos!D$9:D767))</f>
        <v/>
      </c>
      <c r="E767" s="1"/>
      <c r="F767" s="11" t="str">
        <f>IF(A767="","",SUM(Lançamentos!F$9:F767))</f>
        <v/>
      </c>
      <c r="G767" s="11" t="str">
        <f>IF(A767="","",SUM(Lançamentos!G$9:G767))</f>
        <v/>
      </c>
      <c r="H767" s="11" t="str">
        <f>IF(A767="","",SUM(Lançamentos!H$9:H767))</f>
        <v/>
      </c>
      <c r="I767" s="12" t="str">
        <f>IF(A767="","",SUM(Lançamentos!C$9:C767))</f>
        <v/>
      </c>
      <c r="J767" s="13" t="str">
        <f>IF(Lançamentos!J767="","",Lançamentos!J767)</f>
        <v/>
      </c>
    </row>
    <row r="768" spans="1:10" ht="23.1" customHeight="1">
      <c r="A768" s="1" t="str">
        <f>IF(ISNUMBER(Lançamentos!A768),Lançamentos!A768,"")</f>
        <v/>
      </c>
      <c r="B768" s="1" t="str">
        <f>IF(Lançamentos!B768="","",Lançamentos!B768)</f>
        <v/>
      </c>
      <c r="C768" s="12" t="str">
        <f>IF(ISNUMBER(Lançamentos!C768),Lançamentos!C768,"")</f>
        <v/>
      </c>
      <c r="D768" s="10" t="str">
        <f>IF(A768="","",SUM(Lançamentos!D$9:D768))</f>
        <v/>
      </c>
      <c r="E768" s="1"/>
      <c r="F768" s="11" t="str">
        <f>IF(A768="","",SUM(Lançamentos!F$9:F768))</f>
        <v/>
      </c>
      <c r="G768" s="11" t="str">
        <f>IF(A768="","",SUM(Lançamentos!G$9:G768))</f>
        <v/>
      </c>
      <c r="H768" s="11" t="str">
        <f>IF(A768="","",SUM(Lançamentos!H$9:H768))</f>
        <v/>
      </c>
      <c r="I768" s="12" t="str">
        <f>IF(A768="","",SUM(Lançamentos!C$9:C768))</f>
        <v/>
      </c>
      <c r="J768" s="13" t="str">
        <f>IF(Lançamentos!J768="","",Lançamentos!J768)</f>
        <v/>
      </c>
    </row>
    <row r="769" spans="1:10" ht="23.1" customHeight="1">
      <c r="A769" s="1" t="str">
        <f>IF(ISNUMBER(Lançamentos!A769),Lançamentos!A769,"")</f>
        <v/>
      </c>
      <c r="B769" s="1" t="str">
        <f>IF(Lançamentos!B769="","",Lançamentos!B769)</f>
        <v/>
      </c>
      <c r="C769" s="12" t="str">
        <f>IF(ISNUMBER(Lançamentos!C769),Lançamentos!C769,"")</f>
        <v/>
      </c>
      <c r="D769" s="10" t="str">
        <f>IF(A769="","",SUM(Lançamentos!D$9:D769))</f>
        <v/>
      </c>
      <c r="E769" s="1"/>
      <c r="F769" s="11" t="str">
        <f>IF(A769="","",SUM(Lançamentos!F$9:F769))</f>
        <v/>
      </c>
      <c r="G769" s="11" t="str">
        <f>IF(A769="","",SUM(Lançamentos!G$9:G769))</f>
        <v/>
      </c>
      <c r="H769" s="11" t="str">
        <f>IF(A769="","",SUM(Lançamentos!H$9:H769))</f>
        <v/>
      </c>
      <c r="I769" s="12" t="str">
        <f>IF(A769="","",SUM(Lançamentos!C$9:C769))</f>
        <v/>
      </c>
      <c r="J769" s="13" t="str">
        <f>IF(Lançamentos!J769="","",Lançamentos!J769)</f>
        <v/>
      </c>
    </row>
    <row r="770" spans="1:10" ht="23.1" customHeight="1">
      <c r="A770" s="1" t="str">
        <f>IF(ISNUMBER(Lançamentos!A770),Lançamentos!A770,"")</f>
        <v/>
      </c>
      <c r="B770" s="1" t="str">
        <f>IF(Lançamentos!B770="","",Lançamentos!B770)</f>
        <v/>
      </c>
      <c r="C770" s="12" t="str">
        <f>IF(ISNUMBER(Lançamentos!C770),Lançamentos!C770,"")</f>
        <v/>
      </c>
      <c r="D770" s="10" t="str">
        <f>IF(A770="","",SUM(Lançamentos!D$9:D770))</f>
        <v/>
      </c>
      <c r="E770" s="1"/>
      <c r="F770" s="11" t="str">
        <f>IF(A770="","",SUM(Lançamentos!F$9:F770))</f>
        <v/>
      </c>
      <c r="G770" s="11" t="str">
        <f>IF(A770="","",SUM(Lançamentos!G$9:G770))</f>
        <v/>
      </c>
      <c r="H770" s="11" t="str">
        <f>IF(A770="","",SUM(Lançamentos!H$9:H770))</f>
        <v/>
      </c>
      <c r="I770" s="12" t="str">
        <f>IF(A770="","",SUM(Lançamentos!C$9:C770))</f>
        <v/>
      </c>
      <c r="J770" s="13" t="str">
        <f>IF(Lançamentos!J770="","",Lançamentos!J770)</f>
        <v/>
      </c>
    </row>
    <row r="771" spans="1:10" ht="23.1" customHeight="1">
      <c r="A771" s="1" t="str">
        <f>IF(ISNUMBER(Lançamentos!A771),Lançamentos!A771,"")</f>
        <v/>
      </c>
      <c r="B771" s="1" t="str">
        <f>IF(Lançamentos!B771="","",Lançamentos!B771)</f>
        <v/>
      </c>
      <c r="C771" s="12" t="str">
        <f>IF(ISNUMBER(Lançamentos!C771),Lançamentos!C771,"")</f>
        <v/>
      </c>
      <c r="D771" s="10" t="str">
        <f>IF(A771="","",SUM(Lançamentos!D$9:D771))</f>
        <v/>
      </c>
      <c r="E771" s="1"/>
      <c r="F771" s="11" t="str">
        <f>IF(A771="","",SUM(Lançamentos!F$9:F771))</f>
        <v/>
      </c>
      <c r="G771" s="11" t="str">
        <f>IF(A771="","",SUM(Lançamentos!G$9:G771))</f>
        <v/>
      </c>
      <c r="H771" s="11" t="str">
        <f>IF(A771="","",SUM(Lançamentos!H$9:H771))</f>
        <v/>
      </c>
      <c r="I771" s="12" t="str">
        <f>IF(A771="","",SUM(Lançamentos!C$9:C771))</f>
        <v/>
      </c>
      <c r="J771" s="13" t="str">
        <f>IF(Lançamentos!J771="","",Lançamentos!J771)</f>
        <v/>
      </c>
    </row>
    <row r="772" spans="1:10" ht="23.1" customHeight="1">
      <c r="A772" s="1" t="str">
        <f>IF(ISNUMBER(Lançamentos!A772),Lançamentos!A772,"")</f>
        <v/>
      </c>
      <c r="B772" s="1" t="str">
        <f>IF(Lançamentos!B772="","",Lançamentos!B772)</f>
        <v/>
      </c>
      <c r="C772" s="12" t="str">
        <f>IF(ISNUMBER(Lançamentos!C772),Lançamentos!C772,"")</f>
        <v/>
      </c>
      <c r="D772" s="10" t="str">
        <f>IF(A772="","",SUM(Lançamentos!D$9:D772))</f>
        <v/>
      </c>
      <c r="E772" s="1"/>
      <c r="F772" s="11" t="str">
        <f>IF(A772="","",SUM(Lançamentos!F$9:F772))</f>
        <v/>
      </c>
      <c r="G772" s="11" t="str">
        <f>IF(A772="","",SUM(Lançamentos!G$9:G772))</f>
        <v/>
      </c>
      <c r="H772" s="11" t="str">
        <f>IF(A772="","",SUM(Lançamentos!H$9:H772))</f>
        <v/>
      </c>
      <c r="I772" s="12" t="str">
        <f>IF(A772="","",SUM(Lançamentos!C$9:C772))</f>
        <v/>
      </c>
      <c r="J772" s="13" t="str">
        <f>IF(Lançamentos!J772="","",Lançamentos!J772)</f>
        <v/>
      </c>
    </row>
    <row r="773" spans="1:10" ht="23.1" customHeight="1">
      <c r="A773" s="1" t="str">
        <f>IF(ISNUMBER(Lançamentos!A773),Lançamentos!A773,"")</f>
        <v/>
      </c>
      <c r="B773" s="1" t="str">
        <f>IF(Lançamentos!B773="","",Lançamentos!B773)</f>
        <v/>
      </c>
      <c r="C773" s="12" t="str">
        <f>IF(ISNUMBER(Lançamentos!C773),Lançamentos!C773,"")</f>
        <v/>
      </c>
      <c r="D773" s="10" t="str">
        <f>IF(A773="","",SUM(Lançamentos!D$9:D773))</f>
        <v/>
      </c>
      <c r="E773" s="1"/>
      <c r="F773" s="11" t="str">
        <f>IF(A773="","",SUM(Lançamentos!F$9:F773))</f>
        <v/>
      </c>
      <c r="G773" s="11" t="str">
        <f>IF(A773="","",SUM(Lançamentos!G$9:G773))</f>
        <v/>
      </c>
      <c r="H773" s="11" t="str">
        <f>IF(A773="","",SUM(Lançamentos!H$9:H773))</f>
        <v/>
      </c>
      <c r="I773" s="12" t="str">
        <f>IF(A773="","",SUM(Lançamentos!C$9:C773))</f>
        <v/>
      </c>
      <c r="J773" s="13" t="str">
        <f>IF(Lançamentos!J773="","",Lançamentos!J773)</f>
        <v/>
      </c>
    </row>
    <row r="774" spans="1:10" ht="23.1" customHeight="1">
      <c r="A774" s="1" t="str">
        <f>IF(ISNUMBER(Lançamentos!A774),Lançamentos!A774,"")</f>
        <v/>
      </c>
      <c r="B774" s="1" t="str">
        <f>IF(Lançamentos!B774="","",Lançamentos!B774)</f>
        <v/>
      </c>
      <c r="C774" s="12" t="str">
        <f>IF(ISNUMBER(Lançamentos!C774),Lançamentos!C774,"")</f>
        <v/>
      </c>
      <c r="D774" s="10" t="str">
        <f>IF(A774="","",SUM(Lançamentos!D$9:D774))</f>
        <v/>
      </c>
      <c r="E774" s="1"/>
      <c r="F774" s="11" t="str">
        <f>IF(A774="","",SUM(Lançamentos!F$9:F774))</f>
        <v/>
      </c>
      <c r="G774" s="11" t="str">
        <f>IF(A774="","",SUM(Lançamentos!G$9:G774))</f>
        <v/>
      </c>
      <c r="H774" s="11" t="str">
        <f>IF(A774="","",SUM(Lançamentos!H$9:H774))</f>
        <v/>
      </c>
      <c r="I774" s="12" t="str">
        <f>IF(A774="","",SUM(Lançamentos!C$9:C774))</f>
        <v/>
      </c>
      <c r="J774" s="13" t="str">
        <f>IF(Lançamentos!J774="","",Lançamentos!J774)</f>
        <v/>
      </c>
    </row>
    <row r="775" spans="1:10" ht="23.1" customHeight="1">
      <c r="A775" s="1" t="str">
        <f>IF(ISNUMBER(Lançamentos!A775),Lançamentos!A775,"")</f>
        <v/>
      </c>
      <c r="B775" s="1" t="str">
        <f>IF(Lançamentos!B775="","",Lançamentos!B775)</f>
        <v/>
      </c>
      <c r="C775" s="12" t="str">
        <f>IF(ISNUMBER(Lançamentos!C775),Lançamentos!C775,"")</f>
        <v/>
      </c>
      <c r="D775" s="10" t="str">
        <f>IF(A775="","",SUM(Lançamentos!D$9:D775))</f>
        <v/>
      </c>
      <c r="E775" s="1"/>
      <c r="F775" s="11" t="str">
        <f>IF(A775="","",SUM(Lançamentos!F$9:F775))</f>
        <v/>
      </c>
      <c r="G775" s="11" t="str">
        <f>IF(A775="","",SUM(Lançamentos!G$9:G775))</f>
        <v/>
      </c>
      <c r="H775" s="11" t="str">
        <f>IF(A775="","",SUM(Lançamentos!H$9:H775))</f>
        <v/>
      </c>
      <c r="I775" s="12" t="str">
        <f>IF(A775="","",SUM(Lançamentos!C$9:C775))</f>
        <v/>
      </c>
      <c r="J775" s="13" t="str">
        <f>IF(Lançamentos!J775="","",Lançamentos!J775)</f>
        <v/>
      </c>
    </row>
    <row r="776" spans="1:10" ht="23.1" customHeight="1">
      <c r="A776" s="1" t="str">
        <f>IF(ISNUMBER(Lançamentos!A776),Lançamentos!A776,"")</f>
        <v/>
      </c>
      <c r="B776" s="1" t="str">
        <f>IF(Lançamentos!B776="","",Lançamentos!B776)</f>
        <v/>
      </c>
      <c r="C776" s="12" t="str">
        <f>IF(ISNUMBER(Lançamentos!C776),Lançamentos!C776,"")</f>
        <v/>
      </c>
      <c r="D776" s="10" t="str">
        <f>IF(A776="","",SUM(Lançamentos!D$9:D776))</f>
        <v/>
      </c>
      <c r="E776" s="1"/>
      <c r="F776" s="11" t="str">
        <f>IF(A776="","",SUM(Lançamentos!F$9:F776))</f>
        <v/>
      </c>
      <c r="G776" s="11" t="str">
        <f>IF(A776="","",SUM(Lançamentos!G$9:G776))</f>
        <v/>
      </c>
      <c r="H776" s="11" t="str">
        <f>IF(A776="","",SUM(Lançamentos!H$9:H776))</f>
        <v/>
      </c>
      <c r="I776" s="12" t="str">
        <f>IF(A776="","",SUM(Lançamentos!C$9:C776))</f>
        <v/>
      </c>
      <c r="J776" s="13" t="str">
        <f>IF(Lançamentos!J776="","",Lançamentos!J776)</f>
        <v/>
      </c>
    </row>
    <row r="777" spans="1:10" ht="23.1" customHeight="1">
      <c r="A777" s="1" t="str">
        <f>IF(ISNUMBER(Lançamentos!A777),Lançamentos!A777,"")</f>
        <v/>
      </c>
      <c r="B777" s="1" t="str">
        <f>IF(Lançamentos!B777="","",Lançamentos!B777)</f>
        <v/>
      </c>
      <c r="C777" s="12" t="str">
        <f>IF(ISNUMBER(Lançamentos!C777),Lançamentos!C777,"")</f>
        <v/>
      </c>
      <c r="D777" s="10" t="str">
        <f>IF(A777="","",SUM(Lançamentos!D$9:D777))</f>
        <v/>
      </c>
      <c r="E777" s="1"/>
      <c r="F777" s="11" t="str">
        <f>IF(A777="","",SUM(Lançamentos!F$9:F777))</f>
        <v/>
      </c>
      <c r="G777" s="11" t="str">
        <f>IF(A777="","",SUM(Lançamentos!G$9:G777))</f>
        <v/>
      </c>
      <c r="H777" s="11" t="str">
        <f>IF(A777="","",SUM(Lançamentos!H$9:H777))</f>
        <v/>
      </c>
      <c r="I777" s="12" t="str">
        <f>IF(A777="","",SUM(Lançamentos!C$9:C777))</f>
        <v/>
      </c>
      <c r="J777" s="13" t="str">
        <f>IF(Lançamentos!J777="","",Lançamentos!J777)</f>
        <v/>
      </c>
    </row>
    <row r="778" spans="1:10" ht="23.1" customHeight="1">
      <c r="A778" s="1" t="str">
        <f>IF(ISNUMBER(Lançamentos!A778),Lançamentos!A778,"")</f>
        <v/>
      </c>
      <c r="B778" s="1" t="str">
        <f>IF(Lançamentos!B778="","",Lançamentos!B778)</f>
        <v/>
      </c>
      <c r="C778" s="12" t="str">
        <f>IF(ISNUMBER(Lançamentos!C778),Lançamentos!C778,"")</f>
        <v/>
      </c>
      <c r="D778" s="10" t="str">
        <f>IF(A778="","",SUM(Lançamentos!D$9:D778))</f>
        <v/>
      </c>
      <c r="E778" s="1"/>
      <c r="F778" s="11" t="str">
        <f>IF(A778="","",SUM(Lançamentos!F$9:F778))</f>
        <v/>
      </c>
      <c r="G778" s="11" t="str">
        <f>IF(A778="","",SUM(Lançamentos!G$9:G778))</f>
        <v/>
      </c>
      <c r="H778" s="11" t="str">
        <f>IF(A778="","",SUM(Lançamentos!H$9:H778))</f>
        <v/>
      </c>
      <c r="I778" s="12" t="str">
        <f>IF(A778="","",SUM(Lançamentos!C$9:C778))</f>
        <v/>
      </c>
      <c r="J778" s="13" t="str">
        <f>IF(Lançamentos!J778="","",Lançamentos!J778)</f>
        <v/>
      </c>
    </row>
    <row r="779" spans="1:10" ht="23.1" customHeight="1">
      <c r="A779" s="1" t="str">
        <f>IF(ISNUMBER(Lançamentos!A779),Lançamentos!A779,"")</f>
        <v/>
      </c>
      <c r="B779" s="1" t="str">
        <f>IF(Lançamentos!B779="","",Lançamentos!B779)</f>
        <v/>
      </c>
      <c r="C779" s="12" t="str">
        <f>IF(ISNUMBER(Lançamentos!C779),Lançamentos!C779,"")</f>
        <v/>
      </c>
      <c r="D779" s="10" t="str">
        <f>IF(A779="","",SUM(Lançamentos!D$9:D779))</f>
        <v/>
      </c>
      <c r="E779" s="1"/>
      <c r="F779" s="11" t="str">
        <f>IF(A779="","",SUM(Lançamentos!F$9:F779))</f>
        <v/>
      </c>
      <c r="G779" s="11" t="str">
        <f>IF(A779="","",SUM(Lançamentos!G$9:G779))</f>
        <v/>
      </c>
      <c r="H779" s="11" t="str">
        <f>IF(A779="","",SUM(Lançamentos!H$9:H779))</f>
        <v/>
      </c>
      <c r="I779" s="12" t="str">
        <f>IF(A779="","",SUM(Lançamentos!C$9:C779))</f>
        <v/>
      </c>
      <c r="J779" s="13" t="str">
        <f>IF(Lançamentos!J779="","",Lançamentos!J779)</f>
        <v/>
      </c>
    </row>
    <row r="780" spans="1:10" ht="23.1" customHeight="1">
      <c r="A780" s="1" t="str">
        <f>IF(ISNUMBER(Lançamentos!A780),Lançamentos!A780,"")</f>
        <v/>
      </c>
      <c r="B780" s="1" t="str">
        <f>IF(Lançamentos!B780="","",Lançamentos!B780)</f>
        <v/>
      </c>
      <c r="C780" s="12" t="str">
        <f>IF(ISNUMBER(Lançamentos!C780),Lançamentos!C780,"")</f>
        <v/>
      </c>
      <c r="D780" s="10" t="str">
        <f>IF(A780="","",SUM(Lançamentos!D$9:D780))</f>
        <v/>
      </c>
      <c r="E780" s="1"/>
      <c r="F780" s="11" t="str">
        <f>IF(A780="","",SUM(Lançamentos!F$9:F780))</f>
        <v/>
      </c>
      <c r="G780" s="11" t="str">
        <f>IF(A780="","",SUM(Lançamentos!G$9:G780))</f>
        <v/>
      </c>
      <c r="H780" s="11" t="str">
        <f>IF(A780="","",SUM(Lançamentos!H$9:H780))</f>
        <v/>
      </c>
      <c r="I780" s="12" t="str">
        <f>IF(A780="","",SUM(Lançamentos!C$9:C780))</f>
        <v/>
      </c>
      <c r="J780" s="13" t="str">
        <f>IF(Lançamentos!J780="","",Lançamentos!J780)</f>
        <v/>
      </c>
    </row>
    <row r="781" spans="1:10" ht="23.1" customHeight="1">
      <c r="A781" s="1" t="str">
        <f>IF(ISNUMBER(Lançamentos!A781),Lançamentos!A781,"")</f>
        <v/>
      </c>
      <c r="B781" s="1" t="str">
        <f>IF(Lançamentos!B781="","",Lançamentos!B781)</f>
        <v/>
      </c>
      <c r="C781" s="12" t="str">
        <f>IF(ISNUMBER(Lançamentos!C781),Lançamentos!C781,"")</f>
        <v/>
      </c>
      <c r="D781" s="10" t="str">
        <f>IF(A781="","",SUM(Lançamentos!D$9:D781))</f>
        <v/>
      </c>
      <c r="E781" s="1"/>
      <c r="F781" s="11" t="str">
        <f>IF(A781="","",SUM(Lançamentos!F$9:F781))</f>
        <v/>
      </c>
      <c r="G781" s="11" t="str">
        <f>IF(A781="","",SUM(Lançamentos!G$9:G781))</f>
        <v/>
      </c>
      <c r="H781" s="11" t="str">
        <f>IF(A781="","",SUM(Lançamentos!H$9:H781))</f>
        <v/>
      </c>
      <c r="I781" s="12" t="str">
        <f>IF(A781="","",SUM(Lançamentos!C$9:C781))</f>
        <v/>
      </c>
      <c r="J781" s="13" t="str">
        <f>IF(Lançamentos!J781="","",Lançamentos!J781)</f>
        <v/>
      </c>
    </row>
    <row r="782" spans="1:10" ht="23.1" customHeight="1">
      <c r="A782" s="1" t="str">
        <f>IF(ISNUMBER(Lançamentos!A782),Lançamentos!A782,"")</f>
        <v/>
      </c>
      <c r="B782" s="1" t="str">
        <f>IF(Lançamentos!B782="","",Lançamentos!B782)</f>
        <v/>
      </c>
      <c r="C782" s="12" t="str">
        <f>IF(ISNUMBER(Lançamentos!C782),Lançamentos!C782,"")</f>
        <v/>
      </c>
      <c r="D782" s="10" t="str">
        <f>IF(A782="","",SUM(Lançamentos!D$9:D782))</f>
        <v/>
      </c>
      <c r="E782" s="1"/>
      <c r="F782" s="11" t="str">
        <f>IF(A782="","",SUM(Lançamentos!F$9:F782))</f>
        <v/>
      </c>
      <c r="G782" s="11" t="str">
        <f>IF(A782="","",SUM(Lançamentos!G$9:G782))</f>
        <v/>
      </c>
      <c r="H782" s="11" t="str">
        <f>IF(A782="","",SUM(Lançamentos!H$9:H782))</f>
        <v/>
      </c>
      <c r="I782" s="12" t="str">
        <f>IF(A782="","",SUM(Lançamentos!C$9:C782))</f>
        <v/>
      </c>
      <c r="J782" s="13" t="str">
        <f>IF(Lançamentos!J782="","",Lançamentos!J782)</f>
        <v/>
      </c>
    </row>
    <row r="783" spans="1:10" ht="23.1" customHeight="1">
      <c r="A783" s="1" t="str">
        <f>IF(ISNUMBER(Lançamentos!A783),Lançamentos!A783,"")</f>
        <v/>
      </c>
      <c r="B783" s="1" t="str">
        <f>IF(Lançamentos!B783="","",Lançamentos!B783)</f>
        <v/>
      </c>
      <c r="C783" s="12" t="str">
        <f>IF(ISNUMBER(Lançamentos!C783),Lançamentos!C783,"")</f>
        <v/>
      </c>
      <c r="D783" s="10" t="str">
        <f>IF(A783="","",SUM(Lançamentos!D$9:D783))</f>
        <v/>
      </c>
      <c r="E783" s="1"/>
      <c r="F783" s="11" t="str">
        <f>IF(A783="","",SUM(Lançamentos!F$9:F783))</f>
        <v/>
      </c>
      <c r="G783" s="11" t="str">
        <f>IF(A783="","",SUM(Lançamentos!G$9:G783))</f>
        <v/>
      </c>
      <c r="H783" s="11" t="str">
        <f>IF(A783="","",SUM(Lançamentos!H$9:H783))</f>
        <v/>
      </c>
      <c r="I783" s="12" t="str">
        <f>IF(A783="","",SUM(Lançamentos!C$9:C783))</f>
        <v/>
      </c>
      <c r="J783" s="13" t="str">
        <f>IF(Lançamentos!J783="","",Lançamentos!J783)</f>
        <v/>
      </c>
    </row>
    <row r="784" spans="1:10" ht="23.1" customHeight="1">
      <c r="A784" s="1" t="str">
        <f>IF(ISNUMBER(Lançamentos!A784),Lançamentos!A784,"")</f>
        <v/>
      </c>
      <c r="B784" s="1" t="str">
        <f>IF(Lançamentos!B784="","",Lançamentos!B784)</f>
        <v/>
      </c>
      <c r="C784" s="12" t="str">
        <f>IF(ISNUMBER(Lançamentos!C784),Lançamentos!C784,"")</f>
        <v/>
      </c>
      <c r="D784" s="10" t="str">
        <f>IF(A784="","",SUM(Lançamentos!D$9:D784))</f>
        <v/>
      </c>
      <c r="E784" s="1"/>
      <c r="F784" s="11" t="str">
        <f>IF(A784="","",SUM(Lançamentos!F$9:F784))</f>
        <v/>
      </c>
      <c r="G784" s="11" t="str">
        <f>IF(A784="","",SUM(Lançamentos!G$9:G784))</f>
        <v/>
      </c>
      <c r="H784" s="11" t="str">
        <f>IF(A784="","",SUM(Lançamentos!H$9:H784))</f>
        <v/>
      </c>
      <c r="I784" s="12" t="str">
        <f>IF(A784="","",SUM(Lançamentos!C$9:C784))</f>
        <v/>
      </c>
      <c r="J784" s="13" t="str">
        <f>IF(Lançamentos!J784="","",Lançamentos!J784)</f>
        <v/>
      </c>
    </row>
    <row r="785" spans="1:10" ht="23.1" customHeight="1">
      <c r="A785" s="1" t="str">
        <f>IF(ISNUMBER(Lançamentos!A785),Lançamentos!A785,"")</f>
        <v/>
      </c>
      <c r="B785" s="1" t="str">
        <f>IF(Lançamentos!B785="","",Lançamentos!B785)</f>
        <v/>
      </c>
      <c r="C785" s="12" t="str">
        <f>IF(ISNUMBER(Lançamentos!C785),Lançamentos!C785,"")</f>
        <v/>
      </c>
      <c r="D785" s="10" t="str">
        <f>IF(A785="","",SUM(Lançamentos!D$9:D785))</f>
        <v/>
      </c>
      <c r="E785" s="1"/>
      <c r="F785" s="11" t="str">
        <f>IF(A785="","",SUM(Lançamentos!F$9:F785))</f>
        <v/>
      </c>
      <c r="G785" s="11" t="str">
        <f>IF(A785="","",SUM(Lançamentos!G$9:G785))</f>
        <v/>
      </c>
      <c r="H785" s="11" t="str">
        <f>IF(A785="","",SUM(Lançamentos!H$9:H785))</f>
        <v/>
      </c>
      <c r="I785" s="12" t="str">
        <f>IF(A785="","",SUM(Lançamentos!C$9:C785))</f>
        <v/>
      </c>
      <c r="J785" s="13" t="str">
        <f>IF(Lançamentos!J785="","",Lançamentos!J785)</f>
        <v/>
      </c>
    </row>
    <row r="786" spans="1:10" ht="23.1" customHeight="1">
      <c r="A786" s="1" t="str">
        <f>IF(ISNUMBER(Lançamentos!A786),Lançamentos!A786,"")</f>
        <v/>
      </c>
      <c r="B786" s="1" t="str">
        <f>IF(Lançamentos!B786="","",Lançamentos!B786)</f>
        <v/>
      </c>
      <c r="C786" s="12" t="str">
        <f>IF(ISNUMBER(Lançamentos!C786),Lançamentos!C786,"")</f>
        <v/>
      </c>
      <c r="D786" s="10" t="str">
        <f>IF(A786="","",SUM(Lançamentos!D$9:D786))</f>
        <v/>
      </c>
      <c r="E786" s="1"/>
      <c r="F786" s="11" t="str">
        <f>IF(A786="","",SUM(Lançamentos!F$9:F786))</f>
        <v/>
      </c>
      <c r="G786" s="11" t="str">
        <f>IF(A786="","",SUM(Lançamentos!G$9:G786))</f>
        <v/>
      </c>
      <c r="H786" s="11" t="str">
        <f>IF(A786="","",SUM(Lançamentos!H$9:H786))</f>
        <v/>
      </c>
      <c r="I786" s="12" t="str">
        <f>IF(A786="","",SUM(Lançamentos!C$9:C786))</f>
        <v/>
      </c>
      <c r="J786" s="13" t="str">
        <f>IF(Lançamentos!J786="","",Lançamentos!J786)</f>
        <v/>
      </c>
    </row>
    <row r="787" spans="1:10" ht="23.1" customHeight="1">
      <c r="A787" s="1" t="str">
        <f>IF(ISNUMBER(Lançamentos!A787),Lançamentos!A787,"")</f>
        <v/>
      </c>
      <c r="B787" s="1" t="str">
        <f>IF(Lançamentos!B787="","",Lançamentos!B787)</f>
        <v/>
      </c>
      <c r="C787" s="12" t="str">
        <f>IF(ISNUMBER(Lançamentos!C787),Lançamentos!C787,"")</f>
        <v/>
      </c>
      <c r="D787" s="10" t="str">
        <f>IF(A787="","",SUM(Lançamentos!D$9:D787))</f>
        <v/>
      </c>
      <c r="E787" s="1"/>
      <c r="F787" s="11" t="str">
        <f>IF(A787="","",SUM(Lançamentos!F$9:F787))</f>
        <v/>
      </c>
      <c r="G787" s="11" t="str">
        <f>IF(A787="","",SUM(Lançamentos!G$9:G787))</f>
        <v/>
      </c>
      <c r="H787" s="11" t="str">
        <f>IF(A787="","",SUM(Lançamentos!H$9:H787))</f>
        <v/>
      </c>
      <c r="I787" s="12" t="str">
        <f>IF(A787="","",SUM(Lançamentos!C$9:C787))</f>
        <v/>
      </c>
      <c r="J787" s="13" t="str">
        <f>IF(Lançamentos!J787="","",Lançamentos!J787)</f>
        <v/>
      </c>
    </row>
    <row r="788" spans="1:10" ht="23.1" customHeight="1">
      <c r="A788" s="1" t="str">
        <f>IF(ISNUMBER(Lançamentos!A788),Lançamentos!A788,"")</f>
        <v/>
      </c>
      <c r="B788" s="1" t="str">
        <f>IF(Lançamentos!B788="","",Lançamentos!B788)</f>
        <v/>
      </c>
      <c r="C788" s="12" t="str">
        <f>IF(ISNUMBER(Lançamentos!C788),Lançamentos!C788,"")</f>
        <v/>
      </c>
      <c r="D788" s="10" t="str">
        <f>IF(A788="","",SUM(Lançamentos!D$9:D788))</f>
        <v/>
      </c>
      <c r="E788" s="1"/>
      <c r="F788" s="11" t="str">
        <f>IF(A788="","",SUM(Lançamentos!F$9:F788))</f>
        <v/>
      </c>
      <c r="G788" s="11" t="str">
        <f>IF(A788="","",SUM(Lançamentos!G$9:G788))</f>
        <v/>
      </c>
      <c r="H788" s="11" t="str">
        <f>IF(A788="","",SUM(Lançamentos!H$9:H788))</f>
        <v/>
      </c>
      <c r="I788" s="12" t="str">
        <f>IF(A788="","",SUM(Lançamentos!C$9:C788))</f>
        <v/>
      </c>
      <c r="J788" s="13" t="str">
        <f>IF(Lançamentos!J788="","",Lançamentos!J788)</f>
        <v/>
      </c>
    </row>
    <row r="789" spans="1:10" ht="23.1" customHeight="1">
      <c r="A789" s="1" t="str">
        <f>IF(ISNUMBER(Lançamentos!A789),Lançamentos!A789,"")</f>
        <v/>
      </c>
      <c r="B789" s="1" t="str">
        <f>IF(Lançamentos!B789="","",Lançamentos!B789)</f>
        <v/>
      </c>
      <c r="C789" s="12" t="str">
        <f>IF(ISNUMBER(Lançamentos!C789),Lançamentos!C789,"")</f>
        <v/>
      </c>
      <c r="D789" s="10" t="str">
        <f>IF(A789="","",SUM(Lançamentos!D$9:D789))</f>
        <v/>
      </c>
      <c r="E789" s="1"/>
      <c r="F789" s="11" t="str">
        <f>IF(A789="","",SUM(Lançamentos!F$9:F789))</f>
        <v/>
      </c>
      <c r="G789" s="11" t="str">
        <f>IF(A789="","",SUM(Lançamentos!G$9:G789))</f>
        <v/>
      </c>
      <c r="H789" s="11" t="str">
        <f>IF(A789="","",SUM(Lançamentos!H$9:H789))</f>
        <v/>
      </c>
      <c r="I789" s="12" t="str">
        <f>IF(A789="","",SUM(Lançamentos!C$9:C789))</f>
        <v/>
      </c>
      <c r="J789" s="13" t="str">
        <f>IF(Lançamentos!J789="","",Lançamentos!J789)</f>
        <v/>
      </c>
    </row>
    <row r="790" spans="1:10" ht="23.1" customHeight="1">
      <c r="A790" s="1" t="str">
        <f>IF(ISNUMBER(Lançamentos!A790),Lançamentos!A790,"")</f>
        <v/>
      </c>
      <c r="B790" s="1" t="str">
        <f>IF(Lançamentos!B790="","",Lançamentos!B790)</f>
        <v/>
      </c>
      <c r="C790" s="12" t="str">
        <f>IF(ISNUMBER(Lançamentos!C790),Lançamentos!C790,"")</f>
        <v/>
      </c>
      <c r="D790" s="10" t="str">
        <f>IF(A790="","",SUM(Lançamentos!D$9:D790))</f>
        <v/>
      </c>
      <c r="E790" s="1"/>
      <c r="F790" s="11" t="str">
        <f>IF(A790="","",SUM(Lançamentos!F$9:F790))</f>
        <v/>
      </c>
      <c r="G790" s="11" t="str">
        <f>IF(A790="","",SUM(Lançamentos!G$9:G790))</f>
        <v/>
      </c>
      <c r="H790" s="11" t="str">
        <f>IF(A790="","",SUM(Lançamentos!H$9:H790))</f>
        <v/>
      </c>
      <c r="I790" s="12" t="str">
        <f>IF(A790="","",SUM(Lançamentos!C$9:C790))</f>
        <v/>
      </c>
      <c r="J790" s="13" t="str">
        <f>IF(Lançamentos!J790="","",Lançamentos!J790)</f>
        <v/>
      </c>
    </row>
    <row r="791" spans="1:10" ht="23.1" customHeight="1">
      <c r="A791" s="1" t="str">
        <f>IF(ISNUMBER(Lançamentos!A791),Lançamentos!A791,"")</f>
        <v/>
      </c>
      <c r="B791" s="1" t="str">
        <f>IF(Lançamentos!B791="","",Lançamentos!B791)</f>
        <v/>
      </c>
      <c r="C791" s="12" t="str">
        <f>IF(ISNUMBER(Lançamentos!C791),Lançamentos!C791,"")</f>
        <v/>
      </c>
      <c r="D791" s="10" t="str">
        <f>IF(A791="","",SUM(Lançamentos!D$9:D791))</f>
        <v/>
      </c>
      <c r="E791" s="1"/>
      <c r="F791" s="11" t="str">
        <f>IF(A791="","",SUM(Lançamentos!F$9:F791))</f>
        <v/>
      </c>
      <c r="G791" s="11" t="str">
        <f>IF(A791="","",SUM(Lançamentos!G$9:G791))</f>
        <v/>
      </c>
      <c r="H791" s="11" t="str">
        <f>IF(A791="","",SUM(Lançamentos!H$9:H791))</f>
        <v/>
      </c>
      <c r="I791" s="12" t="str">
        <f>IF(A791="","",SUM(Lançamentos!C$9:C791))</f>
        <v/>
      </c>
      <c r="J791" s="13" t="str">
        <f>IF(Lançamentos!J791="","",Lançamentos!J791)</f>
        <v/>
      </c>
    </row>
    <row r="792" spans="1:10" ht="23.1" customHeight="1">
      <c r="A792" s="1" t="str">
        <f>IF(ISNUMBER(Lançamentos!A792),Lançamentos!A792,"")</f>
        <v/>
      </c>
      <c r="B792" s="1" t="str">
        <f>IF(Lançamentos!B792="","",Lançamentos!B792)</f>
        <v/>
      </c>
      <c r="C792" s="12" t="str">
        <f>IF(ISNUMBER(Lançamentos!C792),Lançamentos!C792,"")</f>
        <v/>
      </c>
      <c r="D792" s="10" t="str">
        <f>IF(A792="","",SUM(Lançamentos!D$9:D792))</f>
        <v/>
      </c>
      <c r="E792" s="1"/>
      <c r="F792" s="11" t="str">
        <f>IF(A792="","",SUM(Lançamentos!F$9:F792))</f>
        <v/>
      </c>
      <c r="G792" s="11" t="str">
        <f>IF(A792="","",SUM(Lançamentos!G$9:G792))</f>
        <v/>
      </c>
      <c r="H792" s="11" t="str">
        <f>IF(A792="","",SUM(Lançamentos!H$9:H792))</f>
        <v/>
      </c>
      <c r="I792" s="12" t="str">
        <f>IF(A792="","",SUM(Lançamentos!C$9:C792))</f>
        <v/>
      </c>
      <c r="J792" s="13" t="str">
        <f>IF(Lançamentos!J792="","",Lançamentos!J792)</f>
        <v/>
      </c>
    </row>
    <row r="793" spans="1:10" ht="23.1" customHeight="1">
      <c r="A793" s="1" t="str">
        <f>IF(ISNUMBER(Lançamentos!A793),Lançamentos!A793,"")</f>
        <v/>
      </c>
      <c r="B793" s="1" t="str">
        <f>IF(Lançamentos!B793="","",Lançamentos!B793)</f>
        <v/>
      </c>
      <c r="C793" s="12" t="str">
        <f>IF(ISNUMBER(Lançamentos!C793),Lançamentos!C793,"")</f>
        <v/>
      </c>
      <c r="D793" s="10" t="str">
        <f>IF(A793="","",SUM(Lançamentos!D$9:D793))</f>
        <v/>
      </c>
      <c r="E793" s="1"/>
      <c r="F793" s="11" t="str">
        <f>IF(A793="","",SUM(Lançamentos!F$9:F793))</f>
        <v/>
      </c>
      <c r="G793" s="11" t="str">
        <f>IF(A793="","",SUM(Lançamentos!G$9:G793))</f>
        <v/>
      </c>
      <c r="H793" s="11" t="str">
        <f>IF(A793="","",SUM(Lançamentos!H$9:H793))</f>
        <v/>
      </c>
      <c r="I793" s="12" t="str">
        <f>IF(A793="","",SUM(Lançamentos!C$9:C793))</f>
        <v/>
      </c>
      <c r="J793" s="13" t="str">
        <f>IF(Lançamentos!J793="","",Lançamentos!J793)</f>
        <v/>
      </c>
    </row>
    <row r="794" spans="1:10" ht="23.1" customHeight="1">
      <c r="A794" s="1" t="str">
        <f>IF(ISNUMBER(Lançamentos!A794),Lançamentos!A794,"")</f>
        <v/>
      </c>
      <c r="B794" s="1" t="str">
        <f>IF(Lançamentos!B794="","",Lançamentos!B794)</f>
        <v/>
      </c>
      <c r="C794" s="12" t="str">
        <f>IF(ISNUMBER(Lançamentos!C794),Lançamentos!C794,"")</f>
        <v/>
      </c>
      <c r="D794" s="10" t="str">
        <f>IF(A794="","",SUM(Lançamentos!D$9:D794))</f>
        <v/>
      </c>
      <c r="E794" s="1"/>
      <c r="F794" s="11" t="str">
        <f>IF(A794="","",SUM(Lançamentos!F$9:F794))</f>
        <v/>
      </c>
      <c r="G794" s="11" t="str">
        <f>IF(A794="","",SUM(Lançamentos!G$9:G794))</f>
        <v/>
      </c>
      <c r="H794" s="11" t="str">
        <f>IF(A794="","",SUM(Lançamentos!H$9:H794))</f>
        <v/>
      </c>
      <c r="I794" s="12" t="str">
        <f>IF(A794="","",SUM(Lançamentos!C$9:C794))</f>
        <v/>
      </c>
      <c r="J794" s="13" t="str">
        <f>IF(Lançamentos!J794="","",Lançamentos!J794)</f>
        <v/>
      </c>
    </row>
    <row r="795" spans="1:10" ht="23.1" customHeight="1">
      <c r="A795" s="1" t="str">
        <f>IF(ISNUMBER(Lançamentos!A795),Lançamentos!A795,"")</f>
        <v/>
      </c>
      <c r="B795" s="1" t="str">
        <f>IF(Lançamentos!B795="","",Lançamentos!B795)</f>
        <v/>
      </c>
      <c r="C795" s="12" t="str">
        <f>IF(ISNUMBER(Lançamentos!C795),Lançamentos!C795,"")</f>
        <v/>
      </c>
      <c r="D795" s="10" t="str">
        <f>IF(A795="","",SUM(Lançamentos!D$9:D795))</f>
        <v/>
      </c>
      <c r="E795" s="1"/>
      <c r="F795" s="11" t="str">
        <f>IF(A795="","",SUM(Lançamentos!F$9:F795))</f>
        <v/>
      </c>
      <c r="G795" s="11" t="str">
        <f>IF(A795="","",SUM(Lançamentos!G$9:G795))</f>
        <v/>
      </c>
      <c r="H795" s="11" t="str">
        <f>IF(A795="","",SUM(Lançamentos!H$9:H795))</f>
        <v/>
      </c>
      <c r="I795" s="12" t="str">
        <f>IF(A795="","",SUM(Lançamentos!C$9:C795))</f>
        <v/>
      </c>
      <c r="J795" s="13" t="str">
        <f>IF(Lançamentos!J795="","",Lançamentos!J795)</f>
        <v/>
      </c>
    </row>
    <row r="796" spans="1:10" ht="23.1" customHeight="1">
      <c r="A796" s="1" t="str">
        <f>IF(ISNUMBER(Lançamentos!A796),Lançamentos!A796,"")</f>
        <v/>
      </c>
      <c r="B796" s="1" t="str">
        <f>IF(Lançamentos!B796="","",Lançamentos!B796)</f>
        <v/>
      </c>
      <c r="C796" s="12" t="str">
        <f>IF(ISNUMBER(Lançamentos!C796),Lançamentos!C796,"")</f>
        <v/>
      </c>
      <c r="D796" s="10" t="str">
        <f>IF(A796="","",SUM(Lançamentos!D$9:D796))</f>
        <v/>
      </c>
      <c r="E796" s="1"/>
      <c r="F796" s="11" t="str">
        <f>IF(A796="","",SUM(Lançamentos!F$9:F796))</f>
        <v/>
      </c>
      <c r="G796" s="11" t="str">
        <f>IF(A796="","",SUM(Lançamentos!G$9:G796))</f>
        <v/>
      </c>
      <c r="H796" s="11" t="str">
        <f>IF(A796="","",SUM(Lançamentos!H$9:H796))</f>
        <v/>
      </c>
      <c r="I796" s="12" t="str">
        <f>IF(A796="","",SUM(Lançamentos!C$9:C796))</f>
        <v/>
      </c>
      <c r="J796" s="13" t="str">
        <f>IF(Lançamentos!J796="","",Lançamentos!J796)</f>
        <v/>
      </c>
    </row>
    <row r="797" spans="1:10" ht="23.1" customHeight="1">
      <c r="A797" s="1" t="str">
        <f>IF(ISNUMBER(Lançamentos!A797),Lançamentos!A797,"")</f>
        <v/>
      </c>
      <c r="B797" s="1" t="str">
        <f>IF(Lançamentos!B797="","",Lançamentos!B797)</f>
        <v/>
      </c>
      <c r="C797" s="12" t="str">
        <f>IF(ISNUMBER(Lançamentos!C797),Lançamentos!C797,"")</f>
        <v/>
      </c>
      <c r="D797" s="10" t="str">
        <f>IF(A797="","",SUM(Lançamentos!D$9:D797))</f>
        <v/>
      </c>
      <c r="E797" s="1"/>
      <c r="F797" s="11" t="str">
        <f>IF(A797="","",SUM(Lançamentos!F$9:F797))</f>
        <v/>
      </c>
      <c r="G797" s="11" t="str">
        <f>IF(A797="","",SUM(Lançamentos!G$9:G797))</f>
        <v/>
      </c>
      <c r="H797" s="11" t="str">
        <f>IF(A797="","",SUM(Lançamentos!H$9:H797))</f>
        <v/>
      </c>
      <c r="I797" s="12" t="str">
        <f>IF(A797="","",SUM(Lançamentos!C$9:C797))</f>
        <v/>
      </c>
      <c r="J797" s="13" t="str">
        <f>IF(Lançamentos!J797="","",Lançamentos!J797)</f>
        <v/>
      </c>
    </row>
    <row r="798" spans="1:10" ht="23.1" customHeight="1">
      <c r="A798" s="1" t="str">
        <f>IF(ISNUMBER(Lançamentos!A798),Lançamentos!A798,"")</f>
        <v/>
      </c>
      <c r="B798" s="1" t="str">
        <f>IF(Lançamentos!B798="","",Lançamentos!B798)</f>
        <v/>
      </c>
      <c r="C798" s="12" t="str">
        <f>IF(ISNUMBER(Lançamentos!C798),Lançamentos!C798,"")</f>
        <v/>
      </c>
      <c r="D798" s="10" t="str">
        <f>IF(A798="","",SUM(Lançamentos!D$9:D798))</f>
        <v/>
      </c>
      <c r="E798" s="1"/>
      <c r="F798" s="11" t="str">
        <f>IF(A798="","",SUM(Lançamentos!F$9:F798))</f>
        <v/>
      </c>
      <c r="G798" s="11" t="str">
        <f>IF(A798="","",SUM(Lançamentos!G$9:G798))</f>
        <v/>
      </c>
      <c r="H798" s="11" t="str">
        <f>IF(A798="","",SUM(Lançamentos!H$9:H798))</f>
        <v/>
      </c>
      <c r="I798" s="12" t="str">
        <f>IF(A798="","",SUM(Lançamentos!C$9:C798))</f>
        <v/>
      </c>
      <c r="J798" s="13" t="str">
        <f>IF(Lançamentos!J798="","",Lançamentos!J798)</f>
        <v/>
      </c>
    </row>
    <row r="799" spans="1:10" ht="23.1" customHeight="1">
      <c r="A799" s="1" t="str">
        <f>IF(ISNUMBER(Lançamentos!A799),Lançamentos!A799,"")</f>
        <v/>
      </c>
      <c r="B799" s="1" t="str">
        <f>IF(Lançamentos!B799="","",Lançamentos!B799)</f>
        <v/>
      </c>
      <c r="C799" s="12" t="str">
        <f>IF(ISNUMBER(Lançamentos!C799),Lançamentos!C799,"")</f>
        <v/>
      </c>
      <c r="D799" s="10" t="str">
        <f>IF(A799="","",SUM(Lançamentos!D$9:D799))</f>
        <v/>
      </c>
      <c r="E799" s="1"/>
      <c r="F799" s="11" t="str">
        <f>IF(A799="","",SUM(Lançamentos!F$9:F799))</f>
        <v/>
      </c>
      <c r="G799" s="11" t="str">
        <f>IF(A799="","",SUM(Lançamentos!G$9:G799))</f>
        <v/>
      </c>
      <c r="H799" s="11" t="str">
        <f>IF(A799="","",SUM(Lançamentos!H$9:H799))</f>
        <v/>
      </c>
      <c r="I799" s="12" t="str">
        <f>IF(A799="","",SUM(Lançamentos!C$9:C799))</f>
        <v/>
      </c>
      <c r="J799" s="13" t="str">
        <f>IF(Lançamentos!J799="","",Lançamentos!J799)</f>
        <v/>
      </c>
    </row>
    <row r="800" spans="1:10" ht="23.1" customHeight="1">
      <c r="A800" s="1" t="str">
        <f>IF(ISNUMBER(Lançamentos!A800),Lançamentos!A800,"")</f>
        <v/>
      </c>
      <c r="B800" s="1" t="str">
        <f>IF(Lançamentos!B800="","",Lançamentos!B800)</f>
        <v/>
      </c>
      <c r="C800" s="12" t="str">
        <f>IF(ISNUMBER(Lançamentos!C800),Lançamentos!C800,"")</f>
        <v/>
      </c>
      <c r="D800" s="10" t="str">
        <f>IF(A800="","",SUM(Lançamentos!D$9:D800))</f>
        <v/>
      </c>
      <c r="E800" s="1"/>
      <c r="F800" s="11" t="str">
        <f>IF(A800="","",SUM(Lançamentos!F$9:F800))</f>
        <v/>
      </c>
      <c r="G800" s="11" t="str">
        <f>IF(A800="","",SUM(Lançamentos!G$9:G800))</f>
        <v/>
      </c>
      <c r="H800" s="11" t="str">
        <f>IF(A800="","",SUM(Lançamentos!H$9:H800))</f>
        <v/>
      </c>
      <c r="I800" s="12" t="str">
        <f>IF(A800="","",SUM(Lançamentos!C$9:C800))</f>
        <v/>
      </c>
      <c r="J800" s="13" t="str">
        <f>IF(Lançamentos!J800="","",Lançamentos!J800)</f>
        <v/>
      </c>
    </row>
    <row r="801" spans="1:10" ht="23.1" customHeight="1">
      <c r="A801" s="1" t="str">
        <f>IF(ISNUMBER(Lançamentos!A801),Lançamentos!A801,"")</f>
        <v/>
      </c>
      <c r="B801" s="1" t="str">
        <f>IF(Lançamentos!B801="","",Lançamentos!B801)</f>
        <v/>
      </c>
      <c r="C801" s="12" t="str">
        <f>IF(ISNUMBER(Lançamentos!C801),Lançamentos!C801,"")</f>
        <v/>
      </c>
      <c r="D801" s="10" t="str">
        <f>IF(A801="","",SUM(Lançamentos!D$9:D801))</f>
        <v/>
      </c>
      <c r="E801" s="1"/>
      <c r="F801" s="11" t="str">
        <f>IF(A801="","",SUM(Lançamentos!F$9:F801))</f>
        <v/>
      </c>
      <c r="G801" s="11" t="str">
        <f>IF(A801="","",SUM(Lançamentos!G$9:G801))</f>
        <v/>
      </c>
      <c r="H801" s="11" t="str">
        <f>IF(A801="","",SUM(Lançamentos!H$9:H801))</f>
        <v/>
      </c>
      <c r="I801" s="12" t="str">
        <f>IF(A801="","",SUM(Lançamentos!C$9:C801))</f>
        <v/>
      </c>
      <c r="J801" s="13" t="str">
        <f>IF(Lançamentos!J801="","",Lançamentos!J801)</f>
        <v/>
      </c>
    </row>
    <row r="802" spans="1:10" ht="23.1" customHeight="1">
      <c r="A802" s="1" t="str">
        <f>IF(ISNUMBER(Lançamentos!A802),Lançamentos!A802,"")</f>
        <v/>
      </c>
      <c r="B802" s="1" t="str">
        <f>IF(Lançamentos!B802="","",Lançamentos!B802)</f>
        <v/>
      </c>
      <c r="C802" s="12" t="str">
        <f>IF(ISNUMBER(Lançamentos!C802),Lançamentos!C802,"")</f>
        <v/>
      </c>
      <c r="D802" s="10" t="str">
        <f>IF(A802="","",SUM(Lançamentos!D$9:D802))</f>
        <v/>
      </c>
      <c r="E802" s="1"/>
      <c r="F802" s="11" t="str">
        <f>IF(A802="","",SUM(Lançamentos!F$9:F802))</f>
        <v/>
      </c>
      <c r="G802" s="11" t="str">
        <f>IF(A802="","",SUM(Lançamentos!G$9:G802))</f>
        <v/>
      </c>
      <c r="H802" s="11" t="str">
        <f>IF(A802="","",SUM(Lançamentos!H$9:H802))</f>
        <v/>
      </c>
      <c r="I802" s="12" t="str">
        <f>IF(A802="","",SUM(Lançamentos!C$9:C802))</f>
        <v/>
      </c>
      <c r="J802" s="13" t="str">
        <f>IF(Lançamentos!J802="","",Lançamentos!J802)</f>
        <v/>
      </c>
    </row>
    <row r="803" spans="1:10" ht="23.1" customHeight="1">
      <c r="A803" s="1" t="str">
        <f>IF(ISNUMBER(Lançamentos!A803),Lançamentos!A803,"")</f>
        <v/>
      </c>
      <c r="B803" s="1" t="str">
        <f>IF(Lançamentos!B803="","",Lançamentos!B803)</f>
        <v/>
      </c>
      <c r="C803" s="12" t="str">
        <f>IF(ISNUMBER(Lançamentos!C803),Lançamentos!C803,"")</f>
        <v/>
      </c>
      <c r="D803" s="10" t="str">
        <f>IF(A803="","",SUM(Lançamentos!D$9:D803))</f>
        <v/>
      </c>
      <c r="E803" s="1"/>
      <c r="F803" s="11" t="str">
        <f>IF(A803="","",SUM(Lançamentos!F$9:F803))</f>
        <v/>
      </c>
      <c r="G803" s="11" t="str">
        <f>IF(A803="","",SUM(Lançamentos!G$9:G803))</f>
        <v/>
      </c>
      <c r="H803" s="11" t="str">
        <f>IF(A803="","",SUM(Lançamentos!H$9:H803))</f>
        <v/>
      </c>
      <c r="I803" s="12" t="str">
        <f>IF(A803="","",SUM(Lançamentos!C$9:C803))</f>
        <v/>
      </c>
      <c r="J803" s="13" t="str">
        <f>IF(Lançamentos!J803="","",Lançamentos!J803)</f>
        <v/>
      </c>
    </row>
    <row r="804" spans="1:10" ht="23.1" customHeight="1">
      <c r="A804" s="1" t="str">
        <f>IF(ISNUMBER(Lançamentos!A804),Lançamentos!A804,"")</f>
        <v/>
      </c>
      <c r="B804" s="1" t="str">
        <f>IF(Lançamentos!B804="","",Lançamentos!B804)</f>
        <v/>
      </c>
      <c r="C804" s="12" t="str">
        <f>IF(ISNUMBER(Lançamentos!C804),Lançamentos!C804,"")</f>
        <v/>
      </c>
      <c r="D804" s="10" t="str">
        <f>IF(A804="","",SUM(Lançamentos!D$9:D804))</f>
        <v/>
      </c>
      <c r="E804" s="1"/>
      <c r="F804" s="11" t="str">
        <f>IF(A804="","",SUM(Lançamentos!F$9:F804))</f>
        <v/>
      </c>
      <c r="G804" s="11" t="str">
        <f>IF(A804="","",SUM(Lançamentos!G$9:G804))</f>
        <v/>
      </c>
      <c r="H804" s="11" t="str">
        <f>IF(A804="","",SUM(Lançamentos!H$9:H804))</f>
        <v/>
      </c>
      <c r="I804" s="12" t="str">
        <f>IF(A804="","",SUM(Lançamentos!C$9:C804))</f>
        <v/>
      </c>
      <c r="J804" s="13" t="str">
        <f>IF(Lançamentos!J804="","",Lançamentos!J804)</f>
        <v/>
      </c>
    </row>
    <row r="805" spans="1:10" ht="23.1" customHeight="1">
      <c r="A805" s="1" t="str">
        <f>IF(ISNUMBER(Lançamentos!A805),Lançamentos!A805,"")</f>
        <v/>
      </c>
      <c r="B805" s="1" t="str">
        <f>IF(Lançamentos!B805="","",Lançamentos!B805)</f>
        <v/>
      </c>
      <c r="C805" s="12" t="str">
        <f>IF(ISNUMBER(Lançamentos!C805),Lançamentos!C805,"")</f>
        <v/>
      </c>
      <c r="D805" s="10" t="str">
        <f>IF(A805="","",SUM(Lançamentos!D$9:D805))</f>
        <v/>
      </c>
      <c r="E805" s="1"/>
      <c r="F805" s="11" t="str">
        <f>IF(A805="","",SUM(Lançamentos!F$9:F805))</f>
        <v/>
      </c>
      <c r="G805" s="11" t="str">
        <f>IF(A805="","",SUM(Lançamentos!G$9:G805))</f>
        <v/>
      </c>
      <c r="H805" s="11" t="str">
        <f>IF(A805="","",SUM(Lançamentos!H$9:H805))</f>
        <v/>
      </c>
      <c r="I805" s="12" t="str">
        <f>IF(A805="","",SUM(Lançamentos!C$9:C805))</f>
        <v/>
      </c>
      <c r="J805" s="13" t="str">
        <f>IF(Lançamentos!J805="","",Lançamentos!J805)</f>
        <v/>
      </c>
    </row>
    <row r="806" spans="1:10" ht="23.1" customHeight="1">
      <c r="A806" s="1" t="str">
        <f>IF(ISNUMBER(Lançamentos!A806),Lançamentos!A806,"")</f>
        <v/>
      </c>
      <c r="B806" s="1" t="str">
        <f>IF(Lançamentos!B806="","",Lançamentos!B806)</f>
        <v/>
      </c>
      <c r="C806" s="12" t="str">
        <f>IF(ISNUMBER(Lançamentos!C806),Lançamentos!C806,"")</f>
        <v/>
      </c>
      <c r="D806" s="10" t="str">
        <f>IF(A806="","",SUM(Lançamentos!D$9:D806))</f>
        <v/>
      </c>
      <c r="E806" s="1"/>
      <c r="F806" s="11" t="str">
        <f>IF(A806="","",SUM(Lançamentos!F$9:F806))</f>
        <v/>
      </c>
      <c r="G806" s="11" t="str">
        <f>IF(A806="","",SUM(Lançamentos!G$9:G806))</f>
        <v/>
      </c>
      <c r="H806" s="11" t="str">
        <f>IF(A806="","",SUM(Lançamentos!H$9:H806))</f>
        <v/>
      </c>
      <c r="I806" s="12" t="str">
        <f>IF(A806="","",SUM(Lançamentos!C$9:C806))</f>
        <v/>
      </c>
      <c r="J806" s="13" t="str">
        <f>IF(Lançamentos!J806="","",Lançamentos!J806)</f>
        <v/>
      </c>
    </row>
    <row r="807" spans="1:10" ht="23.1" customHeight="1">
      <c r="A807" s="1" t="str">
        <f>IF(ISNUMBER(Lançamentos!A807),Lançamentos!A807,"")</f>
        <v/>
      </c>
      <c r="B807" s="1" t="str">
        <f>IF(Lançamentos!B807="","",Lançamentos!B807)</f>
        <v/>
      </c>
      <c r="C807" s="12" t="str">
        <f>IF(ISNUMBER(Lançamentos!C807),Lançamentos!C807,"")</f>
        <v/>
      </c>
      <c r="D807" s="10" t="str">
        <f>IF(A807="","",SUM(Lançamentos!D$9:D807))</f>
        <v/>
      </c>
      <c r="E807" s="1"/>
      <c r="F807" s="11" t="str">
        <f>IF(A807="","",SUM(Lançamentos!F$9:F807))</f>
        <v/>
      </c>
      <c r="G807" s="11" t="str">
        <f>IF(A807="","",SUM(Lançamentos!G$9:G807))</f>
        <v/>
      </c>
      <c r="H807" s="11" t="str">
        <f>IF(A807="","",SUM(Lançamentos!H$9:H807))</f>
        <v/>
      </c>
      <c r="I807" s="12" t="str">
        <f>IF(A807="","",SUM(Lançamentos!C$9:C807))</f>
        <v/>
      </c>
      <c r="J807" s="13" t="str">
        <f>IF(Lançamentos!J807="","",Lançamentos!J807)</f>
        <v/>
      </c>
    </row>
    <row r="808" spans="1:10" ht="23.1" customHeight="1">
      <c r="A808" s="1" t="str">
        <f>IF(ISNUMBER(Lançamentos!A808),Lançamentos!A808,"")</f>
        <v/>
      </c>
      <c r="B808" s="1" t="str">
        <f>IF(Lançamentos!B808="","",Lançamentos!B808)</f>
        <v/>
      </c>
      <c r="C808" s="12" t="str">
        <f>IF(ISNUMBER(Lançamentos!C808),Lançamentos!C808,"")</f>
        <v/>
      </c>
      <c r="D808" s="10" t="str">
        <f>IF(A808="","",SUM(Lançamentos!D$9:D808))</f>
        <v/>
      </c>
      <c r="E808" s="1"/>
      <c r="F808" s="11" t="str">
        <f>IF(A808="","",SUM(Lançamentos!F$9:F808))</f>
        <v/>
      </c>
      <c r="G808" s="11" t="str">
        <f>IF(A808="","",SUM(Lançamentos!G$9:G808))</f>
        <v/>
      </c>
      <c r="H808" s="11" t="str">
        <f>IF(A808="","",SUM(Lançamentos!H$9:H808))</f>
        <v/>
      </c>
      <c r="I808" s="12" t="str">
        <f>IF(A808="","",SUM(Lançamentos!C$9:C808))</f>
        <v/>
      </c>
      <c r="J808" s="13" t="str">
        <f>IF(Lançamentos!J808="","",Lançamentos!J808)</f>
        <v/>
      </c>
    </row>
    <row r="809" spans="1:10" ht="23.1" customHeight="1">
      <c r="A809" s="1" t="str">
        <f>IF(ISNUMBER(Lançamentos!A809),Lançamentos!A809,"")</f>
        <v/>
      </c>
      <c r="B809" s="1" t="str">
        <f>IF(Lançamentos!B809="","",Lançamentos!B809)</f>
        <v/>
      </c>
      <c r="C809" s="12" t="str">
        <f>IF(ISNUMBER(Lançamentos!C809),Lançamentos!C809,"")</f>
        <v/>
      </c>
      <c r="D809" s="10" t="str">
        <f>IF(A809="","",SUM(Lançamentos!D$9:D809))</f>
        <v/>
      </c>
      <c r="E809" s="1"/>
      <c r="F809" s="11" t="str">
        <f>IF(A809="","",SUM(Lançamentos!F$9:F809))</f>
        <v/>
      </c>
      <c r="G809" s="11" t="str">
        <f>IF(A809="","",SUM(Lançamentos!G$9:G809))</f>
        <v/>
      </c>
      <c r="H809" s="11" t="str">
        <f>IF(A809="","",SUM(Lançamentos!H$9:H809))</f>
        <v/>
      </c>
      <c r="I809" s="12" t="str">
        <f>IF(A809="","",SUM(Lançamentos!C$9:C809))</f>
        <v/>
      </c>
      <c r="J809" s="13" t="str">
        <f>IF(Lançamentos!J809="","",Lançamentos!J809)</f>
        <v/>
      </c>
    </row>
    <row r="810" spans="1:10" ht="23.1" customHeight="1">
      <c r="A810" s="1" t="str">
        <f>IF(ISNUMBER(Lançamentos!A810),Lançamentos!A810,"")</f>
        <v/>
      </c>
      <c r="B810" s="1" t="str">
        <f>IF(Lançamentos!B810="","",Lançamentos!B810)</f>
        <v/>
      </c>
      <c r="C810" s="12" t="str">
        <f>IF(ISNUMBER(Lançamentos!C810),Lançamentos!C810,"")</f>
        <v/>
      </c>
      <c r="D810" s="10" t="str">
        <f>IF(A810="","",SUM(Lançamentos!D$9:D810))</f>
        <v/>
      </c>
      <c r="E810" s="1"/>
      <c r="F810" s="11" t="str">
        <f>IF(A810="","",SUM(Lançamentos!F$9:F810))</f>
        <v/>
      </c>
      <c r="G810" s="11" t="str">
        <f>IF(A810="","",SUM(Lançamentos!G$9:G810))</f>
        <v/>
      </c>
      <c r="H810" s="11" t="str">
        <f>IF(A810="","",SUM(Lançamentos!H$9:H810))</f>
        <v/>
      </c>
      <c r="I810" s="12" t="str">
        <f>IF(A810="","",SUM(Lançamentos!C$9:C810))</f>
        <v/>
      </c>
      <c r="J810" s="13" t="str">
        <f>IF(Lançamentos!J810="","",Lançamentos!J810)</f>
        <v/>
      </c>
    </row>
    <row r="811" spans="1:10" ht="23.1" customHeight="1">
      <c r="A811" s="1" t="str">
        <f>IF(ISNUMBER(Lançamentos!A811),Lançamentos!A811,"")</f>
        <v/>
      </c>
      <c r="B811" s="1" t="str">
        <f>IF(Lançamentos!B811="","",Lançamentos!B811)</f>
        <v/>
      </c>
      <c r="C811" s="12" t="str">
        <f>IF(ISNUMBER(Lançamentos!C811),Lançamentos!C811,"")</f>
        <v/>
      </c>
      <c r="D811" s="10" t="str">
        <f>IF(A811="","",SUM(Lançamentos!D$9:D811))</f>
        <v/>
      </c>
      <c r="E811" s="1"/>
      <c r="F811" s="11" t="str">
        <f>IF(A811="","",SUM(Lançamentos!F$9:F811))</f>
        <v/>
      </c>
      <c r="G811" s="11" t="str">
        <f>IF(A811="","",SUM(Lançamentos!G$9:G811))</f>
        <v/>
      </c>
      <c r="H811" s="11" t="str">
        <f>IF(A811="","",SUM(Lançamentos!H$9:H811))</f>
        <v/>
      </c>
      <c r="I811" s="12" t="str">
        <f>IF(A811="","",SUM(Lançamentos!C$9:C811))</f>
        <v/>
      </c>
      <c r="J811" s="13" t="str">
        <f>IF(Lançamentos!J811="","",Lançamentos!J811)</f>
        <v/>
      </c>
    </row>
    <row r="812" spans="1:10" ht="23.1" customHeight="1">
      <c r="A812" s="1" t="str">
        <f>IF(ISNUMBER(Lançamentos!A812),Lançamentos!A812,"")</f>
        <v/>
      </c>
      <c r="B812" s="1" t="str">
        <f>IF(Lançamentos!B812="","",Lançamentos!B812)</f>
        <v/>
      </c>
      <c r="C812" s="12" t="str">
        <f>IF(ISNUMBER(Lançamentos!C812),Lançamentos!C812,"")</f>
        <v/>
      </c>
      <c r="D812" s="10" t="str">
        <f>IF(A812="","",SUM(Lançamentos!D$9:D812))</f>
        <v/>
      </c>
      <c r="E812" s="1"/>
      <c r="F812" s="11" t="str">
        <f>IF(A812="","",SUM(Lançamentos!F$9:F812))</f>
        <v/>
      </c>
      <c r="G812" s="11" t="str">
        <f>IF(A812="","",SUM(Lançamentos!G$9:G812))</f>
        <v/>
      </c>
      <c r="H812" s="11" t="str">
        <f>IF(A812="","",SUM(Lançamentos!H$9:H812))</f>
        <v/>
      </c>
      <c r="I812" s="12" t="str">
        <f>IF(A812="","",SUM(Lançamentos!C$9:C812))</f>
        <v/>
      </c>
      <c r="J812" s="13" t="str">
        <f>IF(Lançamentos!J812="","",Lançamentos!J812)</f>
        <v/>
      </c>
    </row>
    <row r="813" spans="1:10" ht="23.1" customHeight="1">
      <c r="A813" s="1" t="str">
        <f>IF(ISNUMBER(Lançamentos!A813),Lançamentos!A813,"")</f>
        <v/>
      </c>
      <c r="B813" s="1" t="str">
        <f>IF(Lançamentos!B813="","",Lançamentos!B813)</f>
        <v/>
      </c>
      <c r="C813" s="12" t="str">
        <f>IF(ISNUMBER(Lançamentos!C813),Lançamentos!C813,"")</f>
        <v/>
      </c>
      <c r="D813" s="10" t="str">
        <f>IF(A813="","",SUM(Lançamentos!D$9:D813))</f>
        <v/>
      </c>
      <c r="E813" s="1"/>
      <c r="F813" s="11" t="str">
        <f>IF(A813="","",SUM(Lançamentos!F$9:F813))</f>
        <v/>
      </c>
      <c r="G813" s="11" t="str">
        <f>IF(A813="","",SUM(Lançamentos!G$9:G813))</f>
        <v/>
      </c>
      <c r="H813" s="11" t="str">
        <f>IF(A813="","",SUM(Lançamentos!H$9:H813))</f>
        <v/>
      </c>
      <c r="I813" s="12" t="str">
        <f>IF(A813="","",SUM(Lançamentos!C$9:C813))</f>
        <v/>
      </c>
      <c r="J813" s="13" t="str">
        <f>IF(Lançamentos!J813="","",Lançamentos!J813)</f>
        <v/>
      </c>
    </row>
    <row r="814" spans="1:10" ht="23.1" customHeight="1">
      <c r="A814" s="1" t="str">
        <f>IF(ISNUMBER(Lançamentos!A814),Lançamentos!A814,"")</f>
        <v/>
      </c>
      <c r="B814" s="1" t="str">
        <f>IF(Lançamentos!B814="","",Lançamentos!B814)</f>
        <v/>
      </c>
      <c r="C814" s="12" t="str">
        <f>IF(ISNUMBER(Lançamentos!C814),Lançamentos!C814,"")</f>
        <v/>
      </c>
      <c r="D814" s="10" t="str">
        <f>IF(A814="","",SUM(Lançamentos!D$9:D814))</f>
        <v/>
      </c>
      <c r="E814" s="1"/>
      <c r="F814" s="11" t="str">
        <f>IF(A814="","",SUM(Lançamentos!F$9:F814))</f>
        <v/>
      </c>
      <c r="G814" s="11" t="str">
        <f>IF(A814="","",SUM(Lançamentos!G$9:G814))</f>
        <v/>
      </c>
      <c r="H814" s="11" t="str">
        <f>IF(A814="","",SUM(Lançamentos!H$9:H814))</f>
        <v/>
      </c>
      <c r="I814" s="12" t="str">
        <f>IF(A814="","",SUM(Lançamentos!C$9:C814))</f>
        <v/>
      </c>
      <c r="J814" s="13" t="str">
        <f>IF(Lançamentos!J814="","",Lançamentos!J814)</f>
        <v/>
      </c>
    </row>
    <row r="815" spans="1:10" ht="23.1" customHeight="1">
      <c r="A815" s="1" t="str">
        <f>IF(ISNUMBER(Lançamentos!A815),Lançamentos!A815,"")</f>
        <v/>
      </c>
      <c r="B815" s="1" t="str">
        <f>IF(Lançamentos!B815="","",Lançamentos!B815)</f>
        <v/>
      </c>
      <c r="C815" s="12" t="str">
        <f>IF(ISNUMBER(Lançamentos!C815),Lançamentos!C815,"")</f>
        <v/>
      </c>
      <c r="D815" s="10" t="str">
        <f>IF(A815="","",SUM(Lançamentos!D$9:D815))</f>
        <v/>
      </c>
      <c r="E815" s="1"/>
      <c r="F815" s="11" t="str">
        <f>IF(A815="","",SUM(Lançamentos!F$9:F815))</f>
        <v/>
      </c>
      <c r="G815" s="11" t="str">
        <f>IF(A815="","",SUM(Lançamentos!G$9:G815))</f>
        <v/>
      </c>
      <c r="H815" s="11" t="str">
        <f>IF(A815="","",SUM(Lançamentos!H$9:H815))</f>
        <v/>
      </c>
      <c r="I815" s="12" t="str">
        <f>IF(A815="","",SUM(Lançamentos!C$9:C815))</f>
        <v/>
      </c>
      <c r="J815" s="13" t="str">
        <f>IF(Lançamentos!J815="","",Lançamentos!J815)</f>
        <v/>
      </c>
    </row>
    <row r="816" spans="1:10" ht="23.1" customHeight="1">
      <c r="A816" s="1" t="str">
        <f>IF(ISNUMBER(Lançamentos!A816),Lançamentos!A816,"")</f>
        <v/>
      </c>
      <c r="B816" s="1" t="str">
        <f>IF(Lançamentos!B816="","",Lançamentos!B816)</f>
        <v/>
      </c>
      <c r="C816" s="12" t="str">
        <f>IF(ISNUMBER(Lançamentos!C816),Lançamentos!C816,"")</f>
        <v/>
      </c>
      <c r="D816" s="10" t="str">
        <f>IF(A816="","",SUM(Lançamentos!D$9:D816))</f>
        <v/>
      </c>
      <c r="E816" s="1"/>
      <c r="F816" s="11" t="str">
        <f>IF(A816="","",SUM(Lançamentos!F$9:F816))</f>
        <v/>
      </c>
      <c r="G816" s="11" t="str">
        <f>IF(A816="","",SUM(Lançamentos!G$9:G816))</f>
        <v/>
      </c>
      <c r="H816" s="11" t="str">
        <f>IF(A816="","",SUM(Lançamentos!H$9:H816))</f>
        <v/>
      </c>
      <c r="I816" s="12" t="str">
        <f>IF(A816="","",SUM(Lançamentos!C$9:C816))</f>
        <v/>
      </c>
      <c r="J816" s="13" t="str">
        <f>IF(Lançamentos!J816="","",Lançamentos!J816)</f>
        <v/>
      </c>
    </row>
    <row r="817" spans="1:10" ht="23.1" customHeight="1">
      <c r="A817" s="1" t="str">
        <f>IF(ISNUMBER(Lançamentos!A817),Lançamentos!A817,"")</f>
        <v/>
      </c>
      <c r="B817" s="1" t="str">
        <f>IF(Lançamentos!B817="","",Lançamentos!B817)</f>
        <v/>
      </c>
      <c r="C817" s="12" t="str">
        <f>IF(ISNUMBER(Lançamentos!C817),Lançamentos!C817,"")</f>
        <v/>
      </c>
      <c r="D817" s="10" t="str">
        <f>IF(A817="","",SUM(Lançamentos!D$9:D817))</f>
        <v/>
      </c>
      <c r="E817" s="1"/>
      <c r="F817" s="11" t="str">
        <f>IF(A817="","",SUM(Lançamentos!F$9:F817))</f>
        <v/>
      </c>
      <c r="G817" s="11" t="str">
        <f>IF(A817="","",SUM(Lançamentos!G$9:G817))</f>
        <v/>
      </c>
      <c r="H817" s="11" t="str">
        <f>IF(A817="","",SUM(Lançamentos!H$9:H817))</f>
        <v/>
      </c>
      <c r="I817" s="12" t="str">
        <f>IF(A817="","",SUM(Lançamentos!C$9:C817))</f>
        <v/>
      </c>
      <c r="J817" s="13" t="str">
        <f>IF(Lançamentos!J817="","",Lançamentos!J817)</f>
        <v/>
      </c>
    </row>
    <row r="818" spans="1:10" ht="23.1" customHeight="1">
      <c r="A818" s="1" t="str">
        <f>IF(ISNUMBER(Lançamentos!A818),Lançamentos!A818,"")</f>
        <v/>
      </c>
      <c r="B818" s="1" t="str">
        <f>IF(Lançamentos!B818="","",Lançamentos!B818)</f>
        <v/>
      </c>
      <c r="C818" s="12" t="str">
        <f>IF(ISNUMBER(Lançamentos!C818),Lançamentos!C818,"")</f>
        <v/>
      </c>
      <c r="D818" s="10" t="str">
        <f>IF(A818="","",SUM(Lançamentos!D$9:D818))</f>
        <v/>
      </c>
      <c r="E818" s="1"/>
      <c r="F818" s="11" t="str">
        <f>IF(A818="","",SUM(Lançamentos!F$9:F818))</f>
        <v/>
      </c>
      <c r="G818" s="11" t="str">
        <f>IF(A818="","",SUM(Lançamentos!G$9:G818))</f>
        <v/>
      </c>
      <c r="H818" s="11" t="str">
        <f>IF(A818="","",SUM(Lançamentos!H$9:H818))</f>
        <v/>
      </c>
      <c r="I818" s="12" t="str">
        <f>IF(A818="","",SUM(Lançamentos!C$9:C818))</f>
        <v/>
      </c>
      <c r="J818" s="13" t="str">
        <f>IF(Lançamentos!J818="","",Lançamentos!J818)</f>
        <v/>
      </c>
    </row>
    <row r="819" spans="1:10" ht="23.1" customHeight="1">
      <c r="A819" s="1" t="str">
        <f>IF(ISNUMBER(Lançamentos!A819),Lançamentos!A819,"")</f>
        <v/>
      </c>
      <c r="B819" s="1" t="str">
        <f>IF(Lançamentos!B819="","",Lançamentos!B819)</f>
        <v/>
      </c>
      <c r="C819" s="12" t="str">
        <f>IF(ISNUMBER(Lançamentos!C819),Lançamentos!C819,"")</f>
        <v/>
      </c>
      <c r="D819" s="10" t="str">
        <f>IF(A819="","",SUM(Lançamentos!D$9:D819))</f>
        <v/>
      </c>
      <c r="E819" s="1"/>
      <c r="F819" s="11" t="str">
        <f>IF(A819="","",SUM(Lançamentos!F$9:F819))</f>
        <v/>
      </c>
      <c r="G819" s="11" t="str">
        <f>IF(A819="","",SUM(Lançamentos!G$9:G819))</f>
        <v/>
      </c>
      <c r="H819" s="11" t="str">
        <f>IF(A819="","",SUM(Lançamentos!H$9:H819))</f>
        <v/>
      </c>
      <c r="I819" s="12" t="str">
        <f>IF(A819="","",SUM(Lançamentos!C$9:C819))</f>
        <v/>
      </c>
      <c r="J819" s="13" t="str">
        <f>IF(Lançamentos!J819="","",Lançamentos!J819)</f>
        <v/>
      </c>
    </row>
    <row r="820" spans="1:10" ht="23.1" customHeight="1">
      <c r="A820" s="1" t="str">
        <f>IF(ISNUMBER(Lançamentos!A820),Lançamentos!A820,"")</f>
        <v/>
      </c>
      <c r="B820" s="1" t="str">
        <f>IF(Lançamentos!B820="","",Lançamentos!B820)</f>
        <v/>
      </c>
      <c r="C820" s="12" t="str">
        <f>IF(ISNUMBER(Lançamentos!C820),Lançamentos!C820,"")</f>
        <v/>
      </c>
      <c r="D820" s="10" t="str">
        <f>IF(A820="","",SUM(Lançamentos!D$9:D820))</f>
        <v/>
      </c>
      <c r="E820" s="1"/>
      <c r="F820" s="11" t="str">
        <f>IF(A820="","",SUM(Lançamentos!F$9:F820))</f>
        <v/>
      </c>
      <c r="G820" s="11" t="str">
        <f>IF(A820="","",SUM(Lançamentos!G$9:G820))</f>
        <v/>
      </c>
      <c r="H820" s="11" t="str">
        <f>IF(A820="","",SUM(Lançamentos!H$9:H820))</f>
        <v/>
      </c>
      <c r="I820" s="12" t="str">
        <f>IF(A820="","",SUM(Lançamentos!C$9:C820))</f>
        <v/>
      </c>
      <c r="J820" s="13" t="str">
        <f>IF(Lançamentos!J820="","",Lançamentos!J820)</f>
        <v/>
      </c>
    </row>
    <row r="821" spans="1:10" ht="23.1" customHeight="1">
      <c r="A821" s="1" t="str">
        <f>IF(ISNUMBER(Lançamentos!A821),Lançamentos!A821,"")</f>
        <v/>
      </c>
      <c r="B821" s="1" t="str">
        <f>IF(Lançamentos!B821="","",Lançamentos!B821)</f>
        <v/>
      </c>
      <c r="C821" s="12" t="str">
        <f>IF(ISNUMBER(Lançamentos!C821),Lançamentos!C821,"")</f>
        <v/>
      </c>
      <c r="D821" s="10" t="str">
        <f>IF(A821="","",SUM(Lançamentos!D$9:D821))</f>
        <v/>
      </c>
      <c r="E821" s="1"/>
      <c r="F821" s="11" t="str">
        <f>IF(A821="","",SUM(Lançamentos!F$9:F821))</f>
        <v/>
      </c>
      <c r="G821" s="11" t="str">
        <f>IF(A821="","",SUM(Lançamentos!G$9:G821))</f>
        <v/>
      </c>
      <c r="H821" s="11" t="str">
        <f>IF(A821="","",SUM(Lançamentos!H$9:H821))</f>
        <v/>
      </c>
      <c r="I821" s="12" t="str">
        <f>IF(A821="","",SUM(Lançamentos!C$9:C821))</f>
        <v/>
      </c>
      <c r="J821" s="13" t="str">
        <f>IF(Lançamentos!J821="","",Lançamentos!J821)</f>
        <v/>
      </c>
    </row>
    <row r="822" spans="1:10" ht="23.1" customHeight="1">
      <c r="A822" s="1" t="str">
        <f>IF(ISNUMBER(Lançamentos!A822),Lançamentos!A822,"")</f>
        <v/>
      </c>
      <c r="B822" s="1" t="str">
        <f>IF(Lançamentos!B822="","",Lançamentos!B822)</f>
        <v/>
      </c>
      <c r="C822" s="12" t="str">
        <f>IF(ISNUMBER(Lançamentos!C822),Lançamentos!C822,"")</f>
        <v/>
      </c>
      <c r="D822" s="10" t="str">
        <f>IF(A822="","",SUM(Lançamentos!D$9:D822))</f>
        <v/>
      </c>
      <c r="E822" s="1"/>
      <c r="F822" s="11" t="str">
        <f>IF(A822="","",SUM(Lançamentos!F$9:F822))</f>
        <v/>
      </c>
      <c r="G822" s="11" t="str">
        <f>IF(A822="","",SUM(Lançamentos!G$9:G822))</f>
        <v/>
      </c>
      <c r="H822" s="11" t="str">
        <f>IF(A822="","",SUM(Lançamentos!H$9:H822))</f>
        <v/>
      </c>
      <c r="I822" s="12" t="str">
        <f>IF(A822="","",SUM(Lançamentos!C$9:C822))</f>
        <v/>
      </c>
      <c r="J822" s="13" t="str">
        <f>IF(Lançamentos!J822="","",Lançamentos!J822)</f>
        <v/>
      </c>
    </row>
    <row r="823" spans="1:10" ht="23.1" customHeight="1">
      <c r="A823" s="1" t="str">
        <f>IF(ISNUMBER(Lançamentos!A823),Lançamentos!A823,"")</f>
        <v/>
      </c>
      <c r="B823" s="1" t="str">
        <f>IF(Lançamentos!B823="","",Lançamentos!B823)</f>
        <v/>
      </c>
      <c r="C823" s="12" t="str">
        <f>IF(ISNUMBER(Lançamentos!C823),Lançamentos!C823,"")</f>
        <v/>
      </c>
      <c r="D823" s="10" t="str">
        <f>IF(A823="","",SUM(Lançamentos!D$9:D823))</f>
        <v/>
      </c>
      <c r="E823" s="1"/>
      <c r="F823" s="11" t="str">
        <f>IF(A823="","",SUM(Lançamentos!F$9:F823))</f>
        <v/>
      </c>
      <c r="G823" s="11" t="str">
        <f>IF(A823="","",SUM(Lançamentos!G$9:G823))</f>
        <v/>
      </c>
      <c r="H823" s="11" t="str">
        <f>IF(A823="","",SUM(Lançamentos!H$9:H823))</f>
        <v/>
      </c>
      <c r="I823" s="12" t="str">
        <f>IF(A823="","",SUM(Lançamentos!C$9:C823))</f>
        <v/>
      </c>
      <c r="J823" s="13" t="str">
        <f>IF(Lançamentos!J823="","",Lançamentos!J823)</f>
        <v/>
      </c>
    </row>
    <row r="824" spans="1:10" ht="23.1" customHeight="1">
      <c r="A824" s="1" t="str">
        <f>IF(ISNUMBER(Lançamentos!A824),Lançamentos!A824,"")</f>
        <v/>
      </c>
      <c r="B824" s="1" t="str">
        <f>IF(Lançamentos!B824="","",Lançamentos!B824)</f>
        <v/>
      </c>
      <c r="C824" s="12" t="str">
        <f>IF(ISNUMBER(Lançamentos!C824),Lançamentos!C824,"")</f>
        <v/>
      </c>
      <c r="D824" s="10" t="str">
        <f>IF(A824="","",SUM(Lançamentos!D$9:D824))</f>
        <v/>
      </c>
      <c r="E824" s="1"/>
      <c r="F824" s="11" t="str">
        <f>IF(A824="","",SUM(Lançamentos!F$9:F824))</f>
        <v/>
      </c>
      <c r="G824" s="11" t="str">
        <f>IF(A824="","",SUM(Lançamentos!G$9:G824))</f>
        <v/>
      </c>
      <c r="H824" s="11" t="str">
        <f>IF(A824="","",SUM(Lançamentos!H$9:H824))</f>
        <v/>
      </c>
      <c r="I824" s="12" t="str">
        <f>IF(A824="","",SUM(Lançamentos!C$9:C824))</f>
        <v/>
      </c>
      <c r="J824" s="13" t="str">
        <f>IF(Lançamentos!J824="","",Lançamentos!J824)</f>
        <v/>
      </c>
    </row>
    <row r="825" spans="1:10" ht="23.1" customHeight="1">
      <c r="A825" s="1" t="str">
        <f>IF(ISNUMBER(Lançamentos!A825),Lançamentos!A825,"")</f>
        <v/>
      </c>
      <c r="B825" s="1" t="str">
        <f>IF(Lançamentos!B825="","",Lançamentos!B825)</f>
        <v/>
      </c>
      <c r="C825" s="12" t="str">
        <f>IF(ISNUMBER(Lançamentos!C825),Lançamentos!C825,"")</f>
        <v/>
      </c>
      <c r="D825" s="10" t="str">
        <f>IF(A825="","",SUM(Lançamentos!D$9:D825))</f>
        <v/>
      </c>
      <c r="E825" s="1"/>
      <c r="F825" s="11" t="str">
        <f>IF(A825="","",SUM(Lançamentos!F$9:F825))</f>
        <v/>
      </c>
      <c r="G825" s="11" t="str">
        <f>IF(A825="","",SUM(Lançamentos!G$9:G825))</f>
        <v/>
      </c>
      <c r="H825" s="11" t="str">
        <f>IF(A825="","",SUM(Lançamentos!H$9:H825))</f>
        <v/>
      </c>
      <c r="I825" s="12" t="str">
        <f>IF(A825="","",SUM(Lançamentos!C$9:C825))</f>
        <v/>
      </c>
      <c r="J825" s="13" t="str">
        <f>IF(Lançamentos!J825="","",Lançamentos!J825)</f>
        <v/>
      </c>
    </row>
    <row r="826" spans="1:10" ht="23.1" customHeight="1">
      <c r="A826" s="1" t="str">
        <f>IF(ISNUMBER(Lançamentos!A826),Lançamentos!A826,"")</f>
        <v/>
      </c>
      <c r="B826" s="1" t="str">
        <f>IF(Lançamentos!B826="","",Lançamentos!B826)</f>
        <v/>
      </c>
      <c r="C826" s="12" t="str">
        <f>IF(ISNUMBER(Lançamentos!C826),Lançamentos!C826,"")</f>
        <v/>
      </c>
      <c r="D826" s="10" t="str">
        <f>IF(A826="","",SUM(Lançamentos!D$9:D826))</f>
        <v/>
      </c>
      <c r="E826" s="1"/>
      <c r="F826" s="11" t="str">
        <f>IF(A826="","",SUM(Lançamentos!F$9:F826))</f>
        <v/>
      </c>
      <c r="G826" s="11" t="str">
        <f>IF(A826="","",SUM(Lançamentos!G$9:G826))</f>
        <v/>
      </c>
      <c r="H826" s="11" t="str">
        <f>IF(A826="","",SUM(Lançamentos!H$9:H826))</f>
        <v/>
      </c>
      <c r="I826" s="12" t="str">
        <f>IF(A826="","",SUM(Lançamentos!C$9:C826))</f>
        <v/>
      </c>
      <c r="J826" s="13" t="str">
        <f>IF(Lançamentos!J826="","",Lançamentos!J826)</f>
        <v/>
      </c>
    </row>
    <row r="827" spans="1:10" ht="23.1" customHeight="1">
      <c r="A827" s="1" t="str">
        <f>IF(ISNUMBER(Lançamentos!A827),Lançamentos!A827,"")</f>
        <v/>
      </c>
      <c r="B827" s="1" t="str">
        <f>IF(Lançamentos!B827="","",Lançamentos!B827)</f>
        <v/>
      </c>
      <c r="C827" s="12" t="str">
        <f>IF(ISNUMBER(Lançamentos!C827),Lançamentos!C827,"")</f>
        <v/>
      </c>
      <c r="D827" s="10" t="str">
        <f>IF(A827="","",SUM(Lançamentos!D$9:D827))</f>
        <v/>
      </c>
      <c r="E827" s="1"/>
      <c r="F827" s="11" t="str">
        <f>IF(A827="","",SUM(Lançamentos!F$9:F827))</f>
        <v/>
      </c>
      <c r="G827" s="11" t="str">
        <f>IF(A827="","",SUM(Lançamentos!G$9:G827))</f>
        <v/>
      </c>
      <c r="H827" s="11" t="str">
        <f>IF(A827="","",SUM(Lançamentos!H$9:H827))</f>
        <v/>
      </c>
      <c r="I827" s="12" t="str">
        <f>IF(A827="","",SUM(Lançamentos!C$9:C827))</f>
        <v/>
      </c>
      <c r="J827" s="13" t="str">
        <f>IF(Lançamentos!J827="","",Lançamentos!J827)</f>
        <v/>
      </c>
    </row>
    <row r="828" spans="1:10" ht="23.1" customHeight="1">
      <c r="A828" s="1" t="str">
        <f>IF(ISNUMBER(Lançamentos!A828),Lançamentos!A828,"")</f>
        <v/>
      </c>
      <c r="B828" s="1" t="str">
        <f>IF(Lançamentos!B828="","",Lançamentos!B828)</f>
        <v/>
      </c>
      <c r="C828" s="12" t="str">
        <f>IF(ISNUMBER(Lançamentos!C828),Lançamentos!C828,"")</f>
        <v/>
      </c>
      <c r="D828" s="10" t="str">
        <f>IF(A828="","",SUM(Lançamentos!D$9:D828))</f>
        <v/>
      </c>
      <c r="E828" s="1"/>
      <c r="F828" s="11" t="str">
        <f>IF(A828="","",SUM(Lançamentos!F$9:F828))</f>
        <v/>
      </c>
      <c r="G828" s="11" t="str">
        <f>IF(A828="","",SUM(Lançamentos!G$9:G828))</f>
        <v/>
      </c>
      <c r="H828" s="11" t="str">
        <f>IF(A828="","",SUM(Lançamentos!H$9:H828))</f>
        <v/>
      </c>
      <c r="I828" s="12" t="str">
        <f>IF(A828="","",SUM(Lançamentos!C$9:C828))</f>
        <v/>
      </c>
      <c r="J828" s="13" t="str">
        <f>IF(Lançamentos!J828="","",Lançamentos!J828)</f>
        <v/>
      </c>
    </row>
    <row r="829" spans="1:10" ht="23.1" customHeight="1">
      <c r="A829" s="1" t="str">
        <f>IF(ISNUMBER(Lançamentos!A829),Lançamentos!A829,"")</f>
        <v/>
      </c>
      <c r="B829" s="1" t="str">
        <f>IF(Lançamentos!B829="","",Lançamentos!B829)</f>
        <v/>
      </c>
      <c r="C829" s="12" t="str">
        <f>IF(ISNUMBER(Lançamentos!C829),Lançamentos!C829,"")</f>
        <v/>
      </c>
      <c r="D829" s="10" t="str">
        <f>IF(A829="","",SUM(Lançamentos!D$9:D829))</f>
        <v/>
      </c>
      <c r="E829" s="1"/>
      <c r="F829" s="11" t="str">
        <f>IF(A829="","",SUM(Lançamentos!F$9:F829))</f>
        <v/>
      </c>
      <c r="G829" s="11" t="str">
        <f>IF(A829="","",SUM(Lançamentos!G$9:G829))</f>
        <v/>
      </c>
      <c r="H829" s="11" t="str">
        <f>IF(A829="","",SUM(Lançamentos!H$9:H829))</f>
        <v/>
      </c>
      <c r="I829" s="12" t="str">
        <f>IF(A829="","",SUM(Lançamentos!C$9:C829))</f>
        <v/>
      </c>
      <c r="J829" s="13" t="str">
        <f>IF(Lançamentos!J829="","",Lançamentos!J829)</f>
        <v/>
      </c>
    </row>
    <row r="830" spans="1:10" ht="23.1" customHeight="1">
      <c r="A830" s="1" t="str">
        <f>IF(ISNUMBER(Lançamentos!A830),Lançamentos!A830,"")</f>
        <v/>
      </c>
      <c r="B830" s="1" t="str">
        <f>IF(Lançamentos!B830="","",Lançamentos!B830)</f>
        <v/>
      </c>
      <c r="C830" s="12" t="str">
        <f>IF(ISNUMBER(Lançamentos!C830),Lançamentos!C830,"")</f>
        <v/>
      </c>
      <c r="D830" s="10" t="str">
        <f>IF(A830="","",SUM(Lançamentos!D$9:D830))</f>
        <v/>
      </c>
      <c r="E830" s="1"/>
      <c r="F830" s="11" t="str">
        <f>IF(A830="","",SUM(Lançamentos!F$9:F830))</f>
        <v/>
      </c>
      <c r="G830" s="11" t="str">
        <f>IF(A830="","",SUM(Lançamentos!G$9:G830))</f>
        <v/>
      </c>
      <c r="H830" s="11" t="str">
        <f>IF(A830="","",SUM(Lançamentos!H$9:H830))</f>
        <v/>
      </c>
      <c r="I830" s="12" t="str">
        <f>IF(A830="","",SUM(Lançamentos!C$9:C830))</f>
        <v/>
      </c>
      <c r="J830" s="13" t="str">
        <f>IF(Lançamentos!J830="","",Lançamentos!J830)</f>
        <v/>
      </c>
    </row>
    <row r="831" spans="1:10" ht="23.1" customHeight="1">
      <c r="A831" s="1" t="str">
        <f>IF(ISNUMBER(Lançamentos!A831),Lançamentos!A831,"")</f>
        <v/>
      </c>
      <c r="B831" s="1" t="str">
        <f>IF(Lançamentos!B831="","",Lançamentos!B831)</f>
        <v/>
      </c>
      <c r="C831" s="12" t="str">
        <f>IF(ISNUMBER(Lançamentos!C831),Lançamentos!C831,"")</f>
        <v/>
      </c>
      <c r="D831" s="10" t="str">
        <f>IF(A831="","",SUM(Lançamentos!D$9:D831))</f>
        <v/>
      </c>
      <c r="E831" s="1"/>
      <c r="F831" s="11" t="str">
        <f>IF(A831="","",SUM(Lançamentos!F$9:F831))</f>
        <v/>
      </c>
      <c r="G831" s="11" t="str">
        <f>IF(A831="","",SUM(Lançamentos!G$9:G831))</f>
        <v/>
      </c>
      <c r="H831" s="11" t="str">
        <f>IF(A831="","",SUM(Lançamentos!H$9:H831))</f>
        <v/>
      </c>
      <c r="I831" s="12" t="str">
        <f>IF(A831="","",SUM(Lançamentos!C$9:C831))</f>
        <v/>
      </c>
      <c r="J831" s="13" t="str">
        <f>IF(Lançamentos!J831="","",Lançamentos!J831)</f>
        <v/>
      </c>
    </row>
    <row r="832" spans="1:10" ht="23.1" customHeight="1">
      <c r="A832" s="1" t="str">
        <f>IF(ISNUMBER(Lançamentos!A832),Lançamentos!A832,"")</f>
        <v/>
      </c>
      <c r="B832" s="1" t="str">
        <f>IF(Lançamentos!B832="","",Lançamentos!B832)</f>
        <v/>
      </c>
      <c r="C832" s="12" t="str">
        <f>IF(ISNUMBER(Lançamentos!C832),Lançamentos!C832,"")</f>
        <v/>
      </c>
      <c r="D832" s="10" t="str">
        <f>IF(A832="","",SUM(Lançamentos!D$9:D832))</f>
        <v/>
      </c>
      <c r="E832" s="1"/>
      <c r="F832" s="11" t="str">
        <f>IF(A832="","",SUM(Lançamentos!F$9:F832))</f>
        <v/>
      </c>
      <c r="G832" s="11" t="str">
        <f>IF(A832="","",SUM(Lançamentos!G$9:G832))</f>
        <v/>
      </c>
      <c r="H832" s="11" t="str">
        <f>IF(A832="","",SUM(Lançamentos!H$9:H832))</f>
        <v/>
      </c>
      <c r="I832" s="12" t="str">
        <f>IF(A832="","",SUM(Lançamentos!C$9:C832))</f>
        <v/>
      </c>
      <c r="J832" s="13" t="str">
        <f>IF(Lançamentos!J832="","",Lançamentos!J832)</f>
        <v/>
      </c>
    </row>
    <row r="833" spans="1:10" ht="23.1" customHeight="1">
      <c r="A833" s="1" t="str">
        <f>IF(ISNUMBER(Lançamentos!A833),Lançamentos!A833,"")</f>
        <v/>
      </c>
      <c r="B833" s="1" t="str">
        <f>IF(Lançamentos!B833="","",Lançamentos!B833)</f>
        <v/>
      </c>
      <c r="C833" s="12" t="str">
        <f>IF(ISNUMBER(Lançamentos!C833),Lançamentos!C833,"")</f>
        <v/>
      </c>
      <c r="D833" s="10" t="str">
        <f>IF(A833="","",SUM(Lançamentos!D$9:D833))</f>
        <v/>
      </c>
      <c r="E833" s="1"/>
      <c r="F833" s="11" t="str">
        <f>IF(A833="","",SUM(Lançamentos!F$9:F833))</f>
        <v/>
      </c>
      <c r="G833" s="11" t="str">
        <f>IF(A833="","",SUM(Lançamentos!G$9:G833))</f>
        <v/>
      </c>
      <c r="H833" s="11" t="str">
        <f>IF(A833="","",SUM(Lançamentos!H$9:H833))</f>
        <v/>
      </c>
      <c r="I833" s="12" t="str">
        <f>IF(A833="","",SUM(Lançamentos!C$9:C833))</f>
        <v/>
      </c>
      <c r="J833" s="13" t="str">
        <f>IF(Lançamentos!J833="","",Lançamentos!J833)</f>
        <v/>
      </c>
    </row>
    <row r="834" spans="1:10" ht="23.1" customHeight="1">
      <c r="A834" s="1" t="str">
        <f>IF(ISNUMBER(Lançamentos!A834),Lançamentos!A834,"")</f>
        <v/>
      </c>
      <c r="B834" s="1" t="str">
        <f>IF(Lançamentos!B834="","",Lançamentos!B834)</f>
        <v/>
      </c>
      <c r="C834" s="12" t="str">
        <f>IF(ISNUMBER(Lançamentos!C834),Lançamentos!C834,"")</f>
        <v/>
      </c>
      <c r="D834" s="10" t="str">
        <f>IF(A834="","",SUM(Lançamentos!D$9:D834))</f>
        <v/>
      </c>
      <c r="E834" s="1"/>
      <c r="F834" s="11" t="str">
        <f>IF(A834="","",SUM(Lançamentos!F$9:F834))</f>
        <v/>
      </c>
      <c r="G834" s="11" t="str">
        <f>IF(A834="","",SUM(Lançamentos!G$9:G834))</f>
        <v/>
      </c>
      <c r="H834" s="11" t="str">
        <f>IF(A834="","",SUM(Lançamentos!H$9:H834))</f>
        <v/>
      </c>
      <c r="I834" s="12" t="str">
        <f>IF(A834="","",SUM(Lançamentos!C$9:C834))</f>
        <v/>
      </c>
      <c r="J834" s="13" t="str">
        <f>IF(Lançamentos!J834="","",Lançamentos!J834)</f>
        <v/>
      </c>
    </row>
    <row r="835" spans="1:10" ht="23.1" customHeight="1">
      <c r="A835" s="1" t="str">
        <f>IF(ISNUMBER(Lançamentos!A835),Lançamentos!A835,"")</f>
        <v/>
      </c>
      <c r="B835" s="1" t="str">
        <f>IF(Lançamentos!B835="","",Lançamentos!B835)</f>
        <v/>
      </c>
      <c r="C835" s="12" t="str">
        <f>IF(ISNUMBER(Lançamentos!C835),Lançamentos!C835,"")</f>
        <v/>
      </c>
      <c r="D835" s="10" t="str">
        <f>IF(A835="","",SUM(Lançamentos!D$9:D835))</f>
        <v/>
      </c>
      <c r="E835" s="1"/>
      <c r="F835" s="11" t="str">
        <f>IF(A835="","",SUM(Lançamentos!F$9:F835))</f>
        <v/>
      </c>
      <c r="G835" s="11" t="str">
        <f>IF(A835="","",SUM(Lançamentos!G$9:G835))</f>
        <v/>
      </c>
      <c r="H835" s="11" t="str">
        <f>IF(A835="","",SUM(Lançamentos!H$9:H835))</f>
        <v/>
      </c>
      <c r="I835" s="12" t="str">
        <f>IF(A835="","",SUM(Lançamentos!C$9:C835))</f>
        <v/>
      </c>
      <c r="J835" s="13" t="str">
        <f>IF(Lançamentos!J835="","",Lançamentos!J835)</f>
        <v/>
      </c>
    </row>
    <row r="836" spans="1:10" ht="23.1" customHeight="1">
      <c r="A836" s="1" t="str">
        <f>IF(ISNUMBER(Lançamentos!A836),Lançamentos!A836,"")</f>
        <v/>
      </c>
      <c r="B836" s="1" t="str">
        <f>IF(Lançamentos!B836="","",Lançamentos!B836)</f>
        <v/>
      </c>
      <c r="C836" s="12" t="str">
        <f>IF(ISNUMBER(Lançamentos!C836),Lançamentos!C836,"")</f>
        <v/>
      </c>
      <c r="D836" s="10" t="str">
        <f>IF(A836="","",SUM(Lançamentos!D$9:D836))</f>
        <v/>
      </c>
      <c r="E836" s="1"/>
      <c r="F836" s="11" t="str">
        <f>IF(A836="","",SUM(Lançamentos!F$9:F836))</f>
        <v/>
      </c>
      <c r="G836" s="11" t="str">
        <f>IF(A836="","",SUM(Lançamentos!G$9:G836))</f>
        <v/>
      </c>
      <c r="H836" s="11" t="str">
        <f>IF(A836="","",SUM(Lançamentos!H$9:H836))</f>
        <v/>
      </c>
      <c r="I836" s="12" t="str">
        <f>IF(A836="","",SUM(Lançamentos!C$9:C836))</f>
        <v/>
      </c>
      <c r="J836" s="13" t="str">
        <f>IF(Lançamentos!J836="","",Lançamentos!J836)</f>
        <v/>
      </c>
    </row>
    <row r="837" spans="1:10" ht="23.1" customHeight="1">
      <c r="A837" s="1" t="str">
        <f>IF(ISNUMBER(Lançamentos!A837),Lançamentos!A837,"")</f>
        <v/>
      </c>
      <c r="B837" s="1" t="str">
        <f>IF(Lançamentos!B837="","",Lançamentos!B837)</f>
        <v/>
      </c>
      <c r="C837" s="12" t="str">
        <f>IF(ISNUMBER(Lançamentos!C837),Lançamentos!C837,"")</f>
        <v/>
      </c>
      <c r="D837" s="10" t="str">
        <f>IF(A837="","",SUM(Lançamentos!D$9:D837))</f>
        <v/>
      </c>
      <c r="E837" s="1"/>
      <c r="F837" s="11" t="str">
        <f>IF(A837="","",SUM(Lançamentos!F$9:F837))</f>
        <v/>
      </c>
      <c r="G837" s="11" t="str">
        <f>IF(A837="","",SUM(Lançamentos!G$9:G837))</f>
        <v/>
      </c>
      <c r="H837" s="11" t="str">
        <f>IF(A837="","",SUM(Lançamentos!H$9:H837))</f>
        <v/>
      </c>
      <c r="I837" s="12" t="str">
        <f>IF(A837="","",SUM(Lançamentos!C$9:C837))</f>
        <v/>
      </c>
      <c r="J837" s="13" t="str">
        <f>IF(Lançamentos!J837="","",Lançamentos!J837)</f>
        <v/>
      </c>
    </row>
    <row r="838" spans="1:10" ht="23.1" customHeight="1">
      <c r="A838" s="1" t="str">
        <f>IF(ISNUMBER(Lançamentos!A838),Lançamentos!A838,"")</f>
        <v/>
      </c>
      <c r="B838" s="1" t="str">
        <f>IF(Lançamentos!B838="","",Lançamentos!B838)</f>
        <v/>
      </c>
      <c r="C838" s="12" t="str">
        <f>IF(ISNUMBER(Lançamentos!C838),Lançamentos!C838,"")</f>
        <v/>
      </c>
      <c r="D838" s="10" t="str">
        <f>IF(A838="","",SUM(Lançamentos!D$9:D838))</f>
        <v/>
      </c>
      <c r="E838" s="1"/>
      <c r="F838" s="11" t="str">
        <f>IF(A838="","",SUM(Lançamentos!F$9:F838))</f>
        <v/>
      </c>
      <c r="G838" s="11" t="str">
        <f>IF(A838="","",SUM(Lançamentos!G$9:G838))</f>
        <v/>
      </c>
      <c r="H838" s="11" t="str">
        <f>IF(A838="","",SUM(Lançamentos!H$9:H838))</f>
        <v/>
      </c>
      <c r="I838" s="12" t="str">
        <f>IF(A838="","",SUM(Lançamentos!C$9:C838))</f>
        <v/>
      </c>
      <c r="J838" s="13" t="str">
        <f>IF(Lançamentos!J838="","",Lançamentos!J838)</f>
        <v/>
      </c>
    </row>
    <row r="839" spans="1:10" ht="23.1" customHeight="1">
      <c r="A839" s="1" t="str">
        <f>IF(ISNUMBER(Lançamentos!A839),Lançamentos!A839,"")</f>
        <v/>
      </c>
      <c r="B839" s="1" t="str">
        <f>IF(Lançamentos!B839="","",Lançamentos!B839)</f>
        <v/>
      </c>
      <c r="C839" s="12" t="str">
        <f>IF(ISNUMBER(Lançamentos!C839),Lançamentos!C839,"")</f>
        <v/>
      </c>
      <c r="D839" s="10" t="str">
        <f>IF(A839="","",SUM(Lançamentos!D$9:D839))</f>
        <v/>
      </c>
      <c r="E839" s="1"/>
      <c r="F839" s="11" t="str">
        <f>IF(A839="","",SUM(Lançamentos!F$9:F839))</f>
        <v/>
      </c>
      <c r="G839" s="11" t="str">
        <f>IF(A839="","",SUM(Lançamentos!G$9:G839))</f>
        <v/>
      </c>
      <c r="H839" s="11" t="str">
        <f>IF(A839="","",SUM(Lançamentos!H$9:H839))</f>
        <v/>
      </c>
      <c r="I839" s="12" t="str">
        <f>IF(A839="","",SUM(Lançamentos!C$9:C839))</f>
        <v/>
      </c>
      <c r="J839" s="13" t="str">
        <f>IF(Lançamentos!J839="","",Lançamentos!J839)</f>
        <v/>
      </c>
    </row>
    <row r="840" spans="1:10" ht="23.1" customHeight="1">
      <c r="A840" s="1" t="str">
        <f>IF(ISNUMBER(Lançamentos!A840),Lançamentos!A840,"")</f>
        <v/>
      </c>
      <c r="B840" s="1" t="str">
        <f>IF(Lançamentos!B840="","",Lançamentos!B840)</f>
        <v/>
      </c>
      <c r="C840" s="12" t="str">
        <f>IF(ISNUMBER(Lançamentos!C840),Lançamentos!C840,"")</f>
        <v/>
      </c>
      <c r="D840" s="10" t="str">
        <f>IF(A840="","",SUM(Lançamentos!D$9:D840))</f>
        <v/>
      </c>
      <c r="E840" s="1"/>
      <c r="F840" s="11" t="str">
        <f>IF(A840="","",SUM(Lançamentos!F$9:F840))</f>
        <v/>
      </c>
      <c r="G840" s="11" t="str">
        <f>IF(A840="","",SUM(Lançamentos!G$9:G840))</f>
        <v/>
      </c>
      <c r="H840" s="11" t="str">
        <f>IF(A840="","",SUM(Lançamentos!H$9:H840))</f>
        <v/>
      </c>
      <c r="I840" s="12" t="str">
        <f>IF(A840="","",SUM(Lançamentos!C$9:C840))</f>
        <v/>
      </c>
      <c r="J840" s="13" t="str">
        <f>IF(Lançamentos!J840="","",Lançamentos!J840)</f>
        <v/>
      </c>
    </row>
    <row r="841" spans="1:10" ht="23.1" customHeight="1">
      <c r="A841" s="1" t="str">
        <f>IF(ISNUMBER(Lançamentos!A841),Lançamentos!A841,"")</f>
        <v/>
      </c>
      <c r="B841" s="1" t="str">
        <f>IF(Lançamentos!B841="","",Lançamentos!B841)</f>
        <v/>
      </c>
      <c r="C841" s="12" t="str">
        <f>IF(ISNUMBER(Lançamentos!C841),Lançamentos!C841,"")</f>
        <v/>
      </c>
      <c r="D841" s="10" t="str">
        <f>IF(A841="","",SUM(Lançamentos!D$9:D841))</f>
        <v/>
      </c>
      <c r="E841" s="1"/>
      <c r="F841" s="11" t="str">
        <f>IF(A841="","",SUM(Lançamentos!F$9:F841))</f>
        <v/>
      </c>
      <c r="G841" s="11" t="str">
        <f>IF(A841="","",SUM(Lançamentos!G$9:G841))</f>
        <v/>
      </c>
      <c r="H841" s="11" t="str">
        <f>IF(A841="","",SUM(Lançamentos!H$9:H841))</f>
        <v/>
      </c>
      <c r="I841" s="12" t="str">
        <f>IF(A841="","",SUM(Lançamentos!C$9:C841))</f>
        <v/>
      </c>
      <c r="J841" s="13" t="str">
        <f>IF(Lançamentos!J841="","",Lançamentos!J841)</f>
        <v/>
      </c>
    </row>
    <row r="842" spans="1:10" ht="23.1" customHeight="1">
      <c r="A842" s="1" t="str">
        <f>IF(ISNUMBER(Lançamentos!A842),Lançamentos!A842,"")</f>
        <v/>
      </c>
      <c r="B842" s="1" t="str">
        <f>IF(Lançamentos!B842="","",Lançamentos!B842)</f>
        <v/>
      </c>
      <c r="C842" s="12" t="str">
        <f>IF(ISNUMBER(Lançamentos!C842),Lançamentos!C842,"")</f>
        <v/>
      </c>
      <c r="D842" s="10" t="str">
        <f>IF(A842="","",SUM(Lançamentos!D$9:D842))</f>
        <v/>
      </c>
      <c r="E842" s="1"/>
      <c r="F842" s="11" t="str">
        <f>IF(A842="","",SUM(Lançamentos!F$9:F842))</f>
        <v/>
      </c>
      <c r="G842" s="11" t="str">
        <f>IF(A842="","",SUM(Lançamentos!G$9:G842))</f>
        <v/>
      </c>
      <c r="H842" s="11" t="str">
        <f>IF(A842="","",SUM(Lançamentos!H$9:H842))</f>
        <v/>
      </c>
      <c r="I842" s="12" t="str">
        <f>IF(A842="","",SUM(Lançamentos!C$9:C842))</f>
        <v/>
      </c>
      <c r="J842" s="13" t="str">
        <f>IF(Lançamentos!J842="","",Lançamentos!J842)</f>
        <v/>
      </c>
    </row>
    <row r="843" spans="1:10" ht="23.1" customHeight="1">
      <c r="A843" s="1" t="str">
        <f>IF(ISNUMBER(Lançamentos!A843),Lançamentos!A843,"")</f>
        <v/>
      </c>
      <c r="B843" s="1" t="str">
        <f>IF(Lançamentos!B843="","",Lançamentos!B843)</f>
        <v/>
      </c>
      <c r="C843" s="12" t="str">
        <f>IF(ISNUMBER(Lançamentos!C843),Lançamentos!C843,"")</f>
        <v/>
      </c>
      <c r="D843" s="10" t="str">
        <f>IF(A843="","",SUM(Lançamentos!D$9:D843))</f>
        <v/>
      </c>
      <c r="E843" s="1"/>
      <c r="F843" s="11" t="str">
        <f>IF(A843="","",SUM(Lançamentos!F$9:F843))</f>
        <v/>
      </c>
      <c r="G843" s="11" t="str">
        <f>IF(A843="","",SUM(Lançamentos!G$9:G843))</f>
        <v/>
      </c>
      <c r="H843" s="11" t="str">
        <f>IF(A843="","",SUM(Lançamentos!H$9:H843))</f>
        <v/>
      </c>
      <c r="I843" s="12" t="str">
        <f>IF(A843="","",SUM(Lançamentos!C$9:C843))</f>
        <v/>
      </c>
      <c r="J843" s="13" t="str">
        <f>IF(Lançamentos!J843="","",Lançamentos!J843)</f>
        <v/>
      </c>
    </row>
    <row r="844" spans="1:10" ht="23.1" customHeight="1">
      <c r="A844" s="1" t="str">
        <f>IF(ISNUMBER(Lançamentos!A844),Lançamentos!A844,"")</f>
        <v/>
      </c>
      <c r="B844" s="1" t="str">
        <f>IF(Lançamentos!B844="","",Lançamentos!B844)</f>
        <v/>
      </c>
      <c r="C844" s="12" t="str">
        <f>IF(ISNUMBER(Lançamentos!C844),Lançamentos!C844,"")</f>
        <v/>
      </c>
      <c r="D844" s="10" t="str">
        <f>IF(A844="","",SUM(Lançamentos!D$9:D844))</f>
        <v/>
      </c>
      <c r="E844" s="1"/>
      <c r="F844" s="11" t="str">
        <f>IF(A844="","",SUM(Lançamentos!F$9:F844))</f>
        <v/>
      </c>
      <c r="G844" s="11" t="str">
        <f>IF(A844="","",SUM(Lançamentos!G$9:G844))</f>
        <v/>
      </c>
      <c r="H844" s="11" t="str">
        <f>IF(A844="","",SUM(Lançamentos!H$9:H844))</f>
        <v/>
      </c>
      <c r="I844" s="12" t="str">
        <f>IF(A844="","",SUM(Lançamentos!C$9:C844))</f>
        <v/>
      </c>
      <c r="J844" s="13" t="str">
        <f>IF(Lançamentos!J844="","",Lançamentos!J844)</f>
        <v/>
      </c>
    </row>
    <row r="845" spans="1:10" ht="23.1" customHeight="1">
      <c r="A845" s="1" t="str">
        <f>IF(ISNUMBER(Lançamentos!A845),Lançamentos!A845,"")</f>
        <v/>
      </c>
      <c r="B845" s="1" t="str">
        <f>IF(Lançamentos!B845="","",Lançamentos!B845)</f>
        <v/>
      </c>
      <c r="C845" s="12" t="str">
        <f>IF(ISNUMBER(Lançamentos!C845),Lançamentos!C845,"")</f>
        <v/>
      </c>
      <c r="D845" s="10" t="str">
        <f>IF(A845="","",SUM(Lançamentos!D$9:D845))</f>
        <v/>
      </c>
      <c r="E845" s="1"/>
      <c r="F845" s="11" t="str">
        <f>IF(A845="","",SUM(Lançamentos!F$9:F845))</f>
        <v/>
      </c>
      <c r="G845" s="11" t="str">
        <f>IF(A845="","",SUM(Lançamentos!G$9:G845))</f>
        <v/>
      </c>
      <c r="H845" s="11" t="str">
        <f>IF(A845="","",SUM(Lançamentos!H$9:H845))</f>
        <v/>
      </c>
      <c r="I845" s="12" t="str">
        <f>IF(A845="","",SUM(Lançamentos!C$9:C845))</f>
        <v/>
      </c>
      <c r="J845" s="13" t="str">
        <f>IF(Lançamentos!J845="","",Lançamentos!J845)</f>
        <v/>
      </c>
    </row>
    <row r="846" spans="1:10" ht="23.1" customHeight="1">
      <c r="A846" s="1" t="str">
        <f>IF(ISNUMBER(Lançamentos!A846),Lançamentos!A846,"")</f>
        <v/>
      </c>
      <c r="B846" s="1" t="str">
        <f>IF(Lançamentos!B846="","",Lançamentos!B846)</f>
        <v/>
      </c>
      <c r="C846" s="12" t="str">
        <f>IF(ISNUMBER(Lançamentos!C846),Lançamentos!C846,"")</f>
        <v/>
      </c>
      <c r="D846" s="10" t="str">
        <f>IF(A846="","",SUM(Lançamentos!D$9:D846))</f>
        <v/>
      </c>
      <c r="E846" s="1"/>
      <c r="F846" s="11" t="str">
        <f>IF(A846="","",SUM(Lançamentos!F$9:F846))</f>
        <v/>
      </c>
      <c r="G846" s="11" t="str">
        <f>IF(A846="","",SUM(Lançamentos!G$9:G846))</f>
        <v/>
      </c>
      <c r="H846" s="11" t="str">
        <f>IF(A846="","",SUM(Lançamentos!H$9:H846))</f>
        <v/>
      </c>
      <c r="I846" s="12" t="str">
        <f>IF(A846="","",SUM(Lançamentos!C$9:C846))</f>
        <v/>
      </c>
      <c r="J846" s="13" t="str">
        <f>IF(Lançamentos!J846="","",Lançamentos!J846)</f>
        <v/>
      </c>
    </row>
    <row r="847" spans="1:10" ht="23.1" customHeight="1">
      <c r="A847" s="1" t="str">
        <f>IF(ISNUMBER(Lançamentos!A847),Lançamentos!A847,"")</f>
        <v/>
      </c>
      <c r="B847" s="1" t="str">
        <f>IF(Lançamentos!B847="","",Lançamentos!B847)</f>
        <v/>
      </c>
      <c r="C847" s="12" t="str">
        <f>IF(ISNUMBER(Lançamentos!C847),Lançamentos!C847,"")</f>
        <v/>
      </c>
      <c r="D847" s="10" t="str">
        <f>IF(A847="","",SUM(Lançamentos!D$9:D847))</f>
        <v/>
      </c>
      <c r="E847" s="1"/>
      <c r="F847" s="11" t="str">
        <f>IF(A847="","",SUM(Lançamentos!F$9:F847))</f>
        <v/>
      </c>
      <c r="G847" s="11" t="str">
        <f>IF(A847="","",SUM(Lançamentos!G$9:G847))</f>
        <v/>
      </c>
      <c r="H847" s="11" t="str">
        <f>IF(A847="","",SUM(Lançamentos!H$9:H847))</f>
        <v/>
      </c>
      <c r="I847" s="12" t="str">
        <f>IF(A847="","",SUM(Lançamentos!C$9:C847))</f>
        <v/>
      </c>
      <c r="J847" s="13" t="str">
        <f>IF(Lançamentos!J847="","",Lançamentos!J847)</f>
        <v/>
      </c>
    </row>
    <row r="848" spans="1:10" ht="23.1" customHeight="1">
      <c r="A848" s="1" t="str">
        <f>IF(ISNUMBER(Lançamentos!A848),Lançamentos!A848,"")</f>
        <v/>
      </c>
      <c r="B848" s="1" t="str">
        <f>IF(Lançamentos!B848="","",Lançamentos!B848)</f>
        <v/>
      </c>
      <c r="C848" s="12" t="str">
        <f>IF(ISNUMBER(Lançamentos!C848),Lançamentos!C848,"")</f>
        <v/>
      </c>
      <c r="D848" s="10" t="str">
        <f>IF(A848="","",SUM(Lançamentos!D$9:D848))</f>
        <v/>
      </c>
      <c r="E848" s="1"/>
      <c r="F848" s="11" t="str">
        <f>IF(A848="","",SUM(Lançamentos!F$9:F848))</f>
        <v/>
      </c>
      <c r="G848" s="11" t="str">
        <f>IF(A848="","",SUM(Lançamentos!G$9:G848))</f>
        <v/>
      </c>
      <c r="H848" s="11" t="str">
        <f>IF(A848="","",SUM(Lançamentos!H$9:H848))</f>
        <v/>
      </c>
      <c r="I848" s="12" t="str">
        <f>IF(A848="","",SUM(Lançamentos!C$9:C848))</f>
        <v/>
      </c>
      <c r="J848" s="13" t="str">
        <f>IF(Lançamentos!J848="","",Lançamentos!J848)</f>
        <v/>
      </c>
    </row>
    <row r="849" spans="1:10" ht="23.1" customHeight="1">
      <c r="A849" s="1" t="str">
        <f>IF(ISNUMBER(Lançamentos!A849),Lançamentos!A849,"")</f>
        <v/>
      </c>
      <c r="B849" s="1" t="str">
        <f>IF(Lançamentos!B849="","",Lançamentos!B849)</f>
        <v/>
      </c>
      <c r="C849" s="12" t="str">
        <f>IF(ISNUMBER(Lançamentos!C849),Lançamentos!C849,"")</f>
        <v/>
      </c>
      <c r="D849" s="10" t="str">
        <f>IF(A849="","",SUM(Lançamentos!D$9:D849))</f>
        <v/>
      </c>
      <c r="E849" s="1"/>
      <c r="F849" s="11" t="str">
        <f>IF(A849="","",SUM(Lançamentos!F$9:F849))</f>
        <v/>
      </c>
      <c r="G849" s="11" t="str">
        <f>IF(A849="","",SUM(Lançamentos!G$9:G849))</f>
        <v/>
      </c>
      <c r="H849" s="11" t="str">
        <f>IF(A849="","",SUM(Lançamentos!H$9:H849))</f>
        <v/>
      </c>
      <c r="I849" s="12" t="str">
        <f>IF(A849="","",SUM(Lançamentos!C$9:C849))</f>
        <v/>
      </c>
      <c r="J849" s="13" t="str">
        <f>IF(Lançamentos!J849="","",Lançamentos!J849)</f>
        <v/>
      </c>
    </row>
    <row r="850" spans="1:10" ht="23.1" customHeight="1">
      <c r="A850" s="1" t="str">
        <f>IF(ISNUMBER(Lançamentos!A850),Lançamentos!A850,"")</f>
        <v/>
      </c>
      <c r="B850" s="1" t="str">
        <f>IF(Lançamentos!B850="","",Lançamentos!B850)</f>
        <v/>
      </c>
      <c r="C850" s="12" t="str">
        <f>IF(ISNUMBER(Lançamentos!C850),Lançamentos!C850,"")</f>
        <v/>
      </c>
      <c r="D850" s="10" t="str">
        <f>IF(A850="","",SUM(Lançamentos!D$9:D850))</f>
        <v/>
      </c>
      <c r="E850" s="1"/>
      <c r="F850" s="11" t="str">
        <f>IF(A850="","",SUM(Lançamentos!F$9:F850))</f>
        <v/>
      </c>
      <c r="G850" s="11" t="str">
        <f>IF(A850="","",SUM(Lançamentos!G$9:G850))</f>
        <v/>
      </c>
      <c r="H850" s="11" t="str">
        <f>IF(A850="","",SUM(Lançamentos!H$9:H850))</f>
        <v/>
      </c>
      <c r="I850" s="12" t="str">
        <f>IF(A850="","",SUM(Lançamentos!C$9:C850))</f>
        <v/>
      </c>
      <c r="J850" s="13" t="str">
        <f>IF(Lançamentos!J850="","",Lançamentos!J850)</f>
        <v/>
      </c>
    </row>
    <row r="851" spans="1:10" ht="23.1" customHeight="1">
      <c r="A851" s="1" t="str">
        <f>IF(ISNUMBER(Lançamentos!A851),Lançamentos!A851,"")</f>
        <v/>
      </c>
      <c r="B851" s="1" t="str">
        <f>IF(Lançamentos!B851="","",Lançamentos!B851)</f>
        <v/>
      </c>
      <c r="C851" s="12" t="str">
        <f>IF(ISNUMBER(Lançamentos!C851),Lançamentos!C851,"")</f>
        <v/>
      </c>
      <c r="D851" s="10" t="str">
        <f>IF(A851="","",SUM(Lançamentos!D$9:D851))</f>
        <v/>
      </c>
      <c r="E851" s="1"/>
      <c r="F851" s="11" t="str">
        <f>IF(A851="","",SUM(Lançamentos!F$9:F851))</f>
        <v/>
      </c>
      <c r="G851" s="11" t="str">
        <f>IF(A851="","",SUM(Lançamentos!G$9:G851))</f>
        <v/>
      </c>
      <c r="H851" s="11" t="str">
        <f>IF(A851="","",SUM(Lançamentos!H$9:H851))</f>
        <v/>
      </c>
      <c r="I851" s="12" t="str">
        <f>IF(A851="","",SUM(Lançamentos!C$9:C851))</f>
        <v/>
      </c>
      <c r="J851" s="13" t="str">
        <f>IF(Lançamentos!J851="","",Lançamentos!J851)</f>
        <v/>
      </c>
    </row>
    <row r="852" spans="1:10" ht="23.1" customHeight="1">
      <c r="A852" s="1" t="str">
        <f>IF(ISNUMBER(Lançamentos!A852),Lançamentos!A852,"")</f>
        <v/>
      </c>
      <c r="B852" s="1" t="str">
        <f>IF(Lançamentos!B852="","",Lançamentos!B852)</f>
        <v/>
      </c>
      <c r="C852" s="12" t="str">
        <f>IF(ISNUMBER(Lançamentos!C852),Lançamentos!C852,"")</f>
        <v/>
      </c>
      <c r="D852" s="10" t="str">
        <f>IF(A852="","",SUM(Lançamentos!D$9:D852))</f>
        <v/>
      </c>
      <c r="E852" s="1"/>
      <c r="F852" s="11" t="str">
        <f>IF(A852="","",SUM(Lançamentos!F$9:F852))</f>
        <v/>
      </c>
      <c r="G852" s="11" t="str">
        <f>IF(A852="","",SUM(Lançamentos!G$9:G852))</f>
        <v/>
      </c>
      <c r="H852" s="11" t="str">
        <f>IF(A852="","",SUM(Lançamentos!H$9:H852))</f>
        <v/>
      </c>
      <c r="I852" s="12" t="str">
        <f>IF(A852="","",SUM(Lançamentos!C$9:C852))</f>
        <v/>
      </c>
      <c r="J852" s="13" t="str">
        <f>IF(Lançamentos!J852="","",Lançamentos!J852)</f>
        <v/>
      </c>
    </row>
    <row r="853" spans="1:10" ht="23.1" customHeight="1">
      <c r="A853" s="1" t="str">
        <f>IF(ISNUMBER(Lançamentos!A853),Lançamentos!A853,"")</f>
        <v/>
      </c>
      <c r="B853" s="1" t="str">
        <f>IF(Lançamentos!B853="","",Lançamentos!B853)</f>
        <v/>
      </c>
      <c r="C853" s="12" t="str">
        <f>IF(ISNUMBER(Lançamentos!C853),Lançamentos!C853,"")</f>
        <v/>
      </c>
      <c r="D853" s="10" t="str">
        <f>IF(A853="","",SUM(Lançamentos!D$9:D853))</f>
        <v/>
      </c>
      <c r="E853" s="1"/>
      <c r="F853" s="11" t="str">
        <f>IF(A853="","",SUM(Lançamentos!F$9:F853))</f>
        <v/>
      </c>
      <c r="G853" s="11" t="str">
        <f>IF(A853="","",SUM(Lançamentos!G$9:G853))</f>
        <v/>
      </c>
      <c r="H853" s="11" t="str">
        <f>IF(A853="","",SUM(Lançamentos!H$9:H853))</f>
        <v/>
      </c>
      <c r="I853" s="12" t="str">
        <f>IF(A853="","",SUM(Lançamentos!C$9:C853))</f>
        <v/>
      </c>
      <c r="J853" s="13" t="str">
        <f>IF(Lançamentos!J853="","",Lançamentos!J853)</f>
        <v/>
      </c>
    </row>
    <row r="854" spans="1:10" ht="23.1" customHeight="1">
      <c r="A854" s="1" t="str">
        <f>IF(ISNUMBER(Lançamentos!A854),Lançamentos!A854,"")</f>
        <v/>
      </c>
      <c r="B854" s="1" t="str">
        <f>IF(Lançamentos!B854="","",Lançamentos!B854)</f>
        <v/>
      </c>
      <c r="C854" s="12" t="str">
        <f>IF(ISNUMBER(Lançamentos!C854),Lançamentos!C854,"")</f>
        <v/>
      </c>
      <c r="D854" s="10" t="str">
        <f>IF(A854="","",SUM(Lançamentos!D$9:D854))</f>
        <v/>
      </c>
      <c r="E854" s="1"/>
      <c r="F854" s="11" t="str">
        <f>IF(A854="","",SUM(Lançamentos!F$9:F854))</f>
        <v/>
      </c>
      <c r="G854" s="11" t="str">
        <f>IF(A854="","",SUM(Lançamentos!G$9:G854))</f>
        <v/>
      </c>
      <c r="H854" s="11" t="str">
        <f>IF(A854="","",SUM(Lançamentos!H$9:H854))</f>
        <v/>
      </c>
      <c r="I854" s="12" t="str">
        <f>IF(A854="","",SUM(Lançamentos!C$9:C854))</f>
        <v/>
      </c>
      <c r="J854" s="13" t="str">
        <f>IF(Lançamentos!J854="","",Lançamentos!J854)</f>
        <v/>
      </c>
    </row>
    <row r="855" spans="1:10" ht="23.1" customHeight="1">
      <c r="A855" s="1" t="str">
        <f>IF(ISNUMBER(Lançamentos!A855),Lançamentos!A855,"")</f>
        <v/>
      </c>
      <c r="B855" s="1" t="str">
        <f>IF(Lançamentos!B855="","",Lançamentos!B855)</f>
        <v/>
      </c>
      <c r="C855" s="12" t="str">
        <f>IF(ISNUMBER(Lançamentos!C855),Lançamentos!C855,"")</f>
        <v/>
      </c>
      <c r="D855" s="10" t="str">
        <f>IF(A855="","",SUM(Lançamentos!D$9:D855))</f>
        <v/>
      </c>
      <c r="E855" s="1"/>
      <c r="F855" s="11" t="str">
        <f>IF(A855="","",SUM(Lançamentos!F$9:F855))</f>
        <v/>
      </c>
      <c r="G855" s="11" t="str">
        <f>IF(A855="","",SUM(Lançamentos!G$9:G855))</f>
        <v/>
      </c>
      <c r="H855" s="11" t="str">
        <f>IF(A855="","",SUM(Lançamentos!H$9:H855))</f>
        <v/>
      </c>
      <c r="I855" s="12" t="str">
        <f>IF(A855="","",SUM(Lançamentos!C$9:C855))</f>
        <v/>
      </c>
      <c r="J855" s="13" t="str">
        <f>IF(Lançamentos!J855="","",Lançamentos!J855)</f>
        <v/>
      </c>
    </row>
    <row r="856" spans="1:10" ht="23.1" customHeight="1">
      <c r="A856" s="1" t="str">
        <f>IF(ISNUMBER(Lançamentos!A856),Lançamentos!A856,"")</f>
        <v/>
      </c>
      <c r="B856" s="1" t="str">
        <f>IF(Lançamentos!B856="","",Lançamentos!B856)</f>
        <v/>
      </c>
      <c r="C856" s="12" t="str">
        <f>IF(ISNUMBER(Lançamentos!C856),Lançamentos!C856,"")</f>
        <v/>
      </c>
      <c r="D856" s="10" t="str">
        <f>IF(A856="","",SUM(Lançamentos!D$9:D856))</f>
        <v/>
      </c>
      <c r="E856" s="1"/>
      <c r="F856" s="11" t="str">
        <f>IF(A856="","",SUM(Lançamentos!F$9:F856))</f>
        <v/>
      </c>
      <c r="G856" s="11" t="str">
        <f>IF(A856="","",SUM(Lançamentos!G$9:G856))</f>
        <v/>
      </c>
      <c r="H856" s="11" t="str">
        <f>IF(A856="","",SUM(Lançamentos!H$9:H856))</f>
        <v/>
      </c>
      <c r="I856" s="12" t="str">
        <f>IF(A856="","",SUM(Lançamentos!C$9:C856))</f>
        <v/>
      </c>
      <c r="J856" s="13" t="str">
        <f>IF(Lançamentos!J856="","",Lançamentos!J856)</f>
        <v/>
      </c>
    </row>
    <row r="857" spans="1:10" ht="23.1" customHeight="1">
      <c r="A857" s="1" t="str">
        <f>IF(ISNUMBER(Lançamentos!A857),Lançamentos!A857,"")</f>
        <v/>
      </c>
      <c r="B857" s="1" t="str">
        <f>IF(Lançamentos!B857="","",Lançamentos!B857)</f>
        <v/>
      </c>
      <c r="C857" s="12" t="str">
        <f>IF(ISNUMBER(Lançamentos!C857),Lançamentos!C857,"")</f>
        <v/>
      </c>
      <c r="D857" s="10" t="str">
        <f>IF(A857="","",SUM(Lançamentos!D$9:D857))</f>
        <v/>
      </c>
      <c r="E857" s="1"/>
      <c r="F857" s="11" t="str">
        <f>IF(A857="","",SUM(Lançamentos!F$9:F857))</f>
        <v/>
      </c>
      <c r="G857" s="11" t="str">
        <f>IF(A857="","",SUM(Lançamentos!G$9:G857))</f>
        <v/>
      </c>
      <c r="H857" s="11" t="str">
        <f>IF(A857="","",SUM(Lançamentos!H$9:H857))</f>
        <v/>
      </c>
      <c r="I857" s="12" t="str">
        <f>IF(A857="","",SUM(Lançamentos!C$9:C857))</f>
        <v/>
      </c>
      <c r="J857" s="13" t="str">
        <f>IF(Lançamentos!J857="","",Lançamentos!J857)</f>
        <v/>
      </c>
    </row>
    <row r="858" spans="1:10" ht="23.1" customHeight="1">
      <c r="A858" s="1" t="str">
        <f>IF(ISNUMBER(Lançamentos!A858),Lançamentos!A858,"")</f>
        <v/>
      </c>
      <c r="B858" s="1" t="str">
        <f>IF(Lançamentos!B858="","",Lançamentos!B858)</f>
        <v/>
      </c>
      <c r="C858" s="12" t="str">
        <f>IF(ISNUMBER(Lançamentos!C858),Lançamentos!C858,"")</f>
        <v/>
      </c>
      <c r="D858" s="10" t="str">
        <f>IF(A858="","",SUM(Lançamentos!D$9:D858))</f>
        <v/>
      </c>
      <c r="E858" s="1"/>
      <c r="F858" s="11" t="str">
        <f>IF(A858="","",SUM(Lançamentos!F$9:F858))</f>
        <v/>
      </c>
      <c r="G858" s="11" t="str">
        <f>IF(A858="","",SUM(Lançamentos!G$9:G858))</f>
        <v/>
      </c>
      <c r="H858" s="11" t="str">
        <f>IF(A858="","",SUM(Lançamentos!H$9:H858))</f>
        <v/>
      </c>
      <c r="I858" s="12" t="str">
        <f>IF(A858="","",SUM(Lançamentos!C$9:C858))</f>
        <v/>
      </c>
      <c r="J858" s="13" t="str">
        <f>IF(Lançamentos!J858="","",Lançamentos!J858)</f>
        <v/>
      </c>
    </row>
    <row r="859" spans="1:10" ht="23.1" customHeight="1">
      <c r="A859" s="1" t="str">
        <f>IF(ISNUMBER(Lançamentos!A859),Lançamentos!A859,"")</f>
        <v/>
      </c>
      <c r="B859" s="1" t="str">
        <f>IF(Lançamentos!B859="","",Lançamentos!B859)</f>
        <v/>
      </c>
      <c r="C859" s="12" t="str">
        <f>IF(ISNUMBER(Lançamentos!C859),Lançamentos!C859,"")</f>
        <v/>
      </c>
      <c r="D859" s="10" t="str">
        <f>IF(A859="","",SUM(Lançamentos!D$9:D859))</f>
        <v/>
      </c>
      <c r="E859" s="1"/>
      <c r="F859" s="11" t="str">
        <f>IF(A859="","",SUM(Lançamentos!F$9:F859))</f>
        <v/>
      </c>
      <c r="G859" s="11" t="str">
        <f>IF(A859="","",SUM(Lançamentos!G$9:G859))</f>
        <v/>
      </c>
      <c r="H859" s="11" t="str">
        <f>IF(A859="","",SUM(Lançamentos!H$9:H859))</f>
        <v/>
      </c>
      <c r="I859" s="12" t="str">
        <f>IF(A859="","",SUM(Lançamentos!C$9:C859))</f>
        <v/>
      </c>
      <c r="J859" s="13" t="str">
        <f>IF(Lançamentos!J859="","",Lançamentos!J859)</f>
        <v/>
      </c>
    </row>
    <row r="860" spans="1:10" ht="23.1" customHeight="1">
      <c r="A860" s="1" t="str">
        <f>IF(ISNUMBER(Lançamentos!A860),Lançamentos!A860,"")</f>
        <v/>
      </c>
      <c r="B860" s="1" t="str">
        <f>IF(Lançamentos!B860="","",Lançamentos!B860)</f>
        <v/>
      </c>
      <c r="C860" s="12" t="str">
        <f>IF(ISNUMBER(Lançamentos!C860),Lançamentos!C860,"")</f>
        <v/>
      </c>
      <c r="D860" s="10" t="str">
        <f>IF(A860="","",SUM(Lançamentos!D$9:D860))</f>
        <v/>
      </c>
      <c r="E860" s="1"/>
      <c r="F860" s="11" t="str">
        <f>IF(A860="","",SUM(Lançamentos!F$9:F860))</f>
        <v/>
      </c>
      <c r="G860" s="11" t="str">
        <f>IF(A860="","",SUM(Lançamentos!G$9:G860))</f>
        <v/>
      </c>
      <c r="H860" s="11" t="str">
        <f>IF(A860="","",SUM(Lançamentos!H$9:H860))</f>
        <v/>
      </c>
      <c r="I860" s="12" t="str">
        <f>IF(A860="","",SUM(Lançamentos!C$9:C860))</f>
        <v/>
      </c>
      <c r="J860" s="13" t="str">
        <f>IF(Lançamentos!J860="","",Lançamentos!J860)</f>
        <v/>
      </c>
    </row>
    <row r="861" spans="1:10" ht="23.1" customHeight="1">
      <c r="A861" s="1" t="str">
        <f>IF(ISNUMBER(Lançamentos!A861),Lançamentos!A861,"")</f>
        <v/>
      </c>
      <c r="B861" s="1" t="str">
        <f>IF(Lançamentos!B861="","",Lançamentos!B861)</f>
        <v/>
      </c>
      <c r="C861" s="12" t="str">
        <f>IF(ISNUMBER(Lançamentos!C861),Lançamentos!C861,"")</f>
        <v/>
      </c>
      <c r="D861" s="10" t="str">
        <f>IF(A861="","",SUM(Lançamentos!D$9:D861))</f>
        <v/>
      </c>
      <c r="E861" s="1"/>
      <c r="F861" s="11" t="str">
        <f>IF(A861="","",SUM(Lançamentos!F$9:F861))</f>
        <v/>
      </c>
      <c r="G861" s="11" t="str">
        <f>IF(A861="","",SUM(Lançamentos!G$9:G861))</f>
        <v/>
      </c>
      <c r="H861" s="11" t="str">
        <f>IF(A861="","",SUM(Lançamentos!H$9:H861))</f>
        <v/>
      </c>
      <c r="I861" s="12" t="str">
        <f>IF(A861="","",SUM(Lançamentos!C$9:C861))</f>
        <v/>
      </c>
      <c r="J861" s="13" t="str">
        <f>IF(Lançamentos!J861="","",Lançamentos!J861)</f>
        <v/>
      </c>
    </row>
    <row r="862" spans="1:10" ht="23.1" customHeight="1">
      <c r="A862" s="1" t="str">
        <f>IF(ISNUMBER(Lançamentos!A862),Lançamentos!A862,"")</f>
        <v/>
      </c>
      <c r="B862" s="1" t="str">
        <f>IF(Lançamentos!B862="","",Lançamentos!B862)</f>
        <v/>
      </c>
      <c r="C862" s="12" t="str">
        <f>IF(ISNUMBER(Lançamentos!C862),Lançamentos!C862,"")</f>
        <v/>
      </c>
      <c r="D862" s="10" t="str">
        <f>IF(A862="","",SUM(Lançamentos!D$9:D862))</f>
        <v/>
      </c>
      <c r="E862" s="1"/>
      <c r="F862" s="11" t="str">
        <f>IF(A862="","",SUM(Lançamentos!F$9:F862))</f>
        <v/>
      </c>
      <c r="G862" s="11" t="str">
        <f>IF(A862="","",SUM(Lançamentos!G$9:G862))</f>
        <v/>
      </c>
      <c r="H862" s="11" t="str">
        <f>IF(A862="","",SUM(Lançamentos!H$9:H862))</f>
        <v/>
      </c>
      <c r="I862" s="12" t="str">
        <f>IF(A862="","",SUM(Lançamentos!C$9:C862))</f>
        <v/>
      </c>
      <c r="J862" s="13" t="str">
        <f>IF(Lançamentos!J862="","",Lançamentos!J862)</f>
        <v/>
      </c>
    </row>
    <row r="863" spans="1:10" ht="23.1" customHeight="1">
      <c r="A863" s="1" t="str">
        <f>IF(ISNUMBER(Lançamentos!A863),Lançamentos!A863,"")</f>
        <v/>
      </c>
      <c r="B863" s="1" t="str">
        <f>IF(Lançamentos!B863="","",Lançamentos!B863)</f>
        <v/>
      </c>
      <c r="C863" s="12" t="str">
        <f>IF(ISNUMBER(Lançamentos!C863),Lançamentos!C863,"")</f>
        <v/>
      </c>
      <c r="D863" s="10" t="str">
        <f>IF(A863="","",SUM(Lançamentos!D$9:D863))</f>
        <v/>
      </c>
      <c r="E863" s="1"/>
      <c r="F863" s="11" t="str">
        <f>IF(A863="","",SUM(Lançamentos!F$9:F863))</f>
        <v/>
      </c>
      <c r="G863" s="11" t="str">
        <f>IF(A863="","",SUM(Lançamentos!G$9:G863))</f>
        <v/>
      </c>
      <c r="H863" s="11" t="str">
        <f>IF(A863="","",SUM(Lançamentos!H$9:H863))</f>
        <v/>
      </c>
      <c r="I863" s="12" t="str">
        <f>IF(A863="","",SUM(Lançamentos!C$9:C863))</f>
        <v/>
      </c>
      <c r="J863" s="13" t="str">
        <f>IF(Lançamentos!J863="","",Lançamentos!J863)</f>
        <v/>
      </c>
    </row>
    <row r="864" spans="1:10" ht="23.1" customHeight="1">
      <c r="A864" s="1" t="str">
        <f>IF(ISNUMBER(Lançamentos!A864),Lançamentos!A864,"")</f>
        <v/>
      </c>
      <c r="B864" s="1" t="str">
        <f>IF(Lançamentos!B864="","",Lançamentos!B864)</f>
        <v/>
      </c>
      <c r="C864" s="12" t="str">
        <f>IF(ISNUMBER(Lançamentos!C864),Lançamentos!C864,"")</f>
        <v/>
      </c>
      <c r="D864" s="10" t="str">
        <f>IF(A864="","",SUM(Lançamentos!D$9:D864))</f>
        <v/>
      </c>
      <c r="E864" s="1"/>
      <c r="F864" s="11" t="str">
        <f>IF(A864="","",SUM(Lançamentos!F$9:F864))</f>
        <v/>
      </c>
      <c r="G864" s="11" t="str">
        <f>IF(A864="","",SUM(Lançamentos!G$9:G864))</f>
        <v/>
      </c>
      <c r="H864" s="11" t="str">
        <f>IF(A864="","",SUM(Lançamentos!H$9:H864))</f>
        <v/>
      </c>
      <c r="I864" s="12" t="str">
        <f>IF(A864="","",SUM(Lançamentos!C$9:C864))</f>
        <v/>
      </c>
      <c r="J864" s="13" t="str">
        <f>IF(Lançamentos!J864="","",Lançamentos!J864)</f>
        <v/>
      </c>
    </row>
    <row r="865" spans="1:10" ht="23.1" customHeight="1">
      <c r="A865" s="1" t="str">
        <f>IF(ISNUMBER(Lançamentos!A865),Lançamentos!A865,"")</f>
        <v/>
      </c>
      <c r="B865" s="1" t="str">
        <f>IF(Lançamentos!B865="","",Lançamentos!B865)</f>
        <v/>
      </c>
      <c r="C865" s="12" t="str">
        <f>IF(ISNUMBER(Lançamentos!C865),Lançamentos!C865,"")</f>
        <v/>
      </c>
      <c r="D865" s="10" t="str">
        <f>IF(A865="","",SUM(Lançamentos!D$9:D865))</f>
        <v/>
      </c>
      <c r="E865" s="1"/>
      <c r="F865" s="11" t="str">
        <f>IF(A865="","",SUM(Lançamentos!F$9:F865))</f>
        <v/>
      </c>
      <c r="G865" s="11" t="str">
        <f>IF(A865="","",SUM(Lançamentos!G$9:G865))</f>
        <v/>
      </c>
      <c r="H865" s="11" t="str">
        <f>IF(A865="","",SUM(Lançamentos!H$9:H865))</f>
        <v/>
      </c>
      <c r="I865" s="12" t="str">
        <f>IF(A865="","",SUM(Lançamentos!C$9:C865))</f>
        <v/>
      </c>
      <c r="J865" s="13" t="str">
        <f>IF(Lançamentos!J865="","",Lançamentos!J865)</f>
        <v/>
      </c>
    </row>
    <row r="866" spans="1:10" ht="23.1" customHeight="1">
      <c r="A866" s="1" t="str">
        <f>IF(ISNUMBER(Lançamentos!A866),Lançamentos!A866,"")</f>
        <v/>
      </c>
      <c r="B866" s="1" t="str">
        <f>IF(Lançamentos!B866="","",Lançamentos!B866)</f>
        <v/>
      </c>
      <c r="C866" s="12" t="str">
        <f>IF(ISNUMBER(Lançamentos!C866),Lançamentos!C866,"")</f>
        <v/>
      </c>
      <c r="D866" s="10" t="str">
        <f>IF(A866="","",SUM(Lançamentos!D$9:D866))</f>
        <v/>
      </c>
      <c r="E866" s="1"/>
      <c r="F866" s="11" t="str">
        <f>IF(A866="","",SUM(Lançamentos!F$9:F866))</f>
        <v/>
      </c>
      <c r="G866" s="11" t="str">
        <f>IF(A866="","",SUM(Lançamentos!G$9:G866))</f>
        <v/>
      </c>
      <c r="H866" s="11" t="str">
        <f>IF(A866="","",SUM(Lançamentos!H$9:H866))</f>
        <v/>
      </c>
      <c r="I866" s="12" t="str">
        <f>IF(A866="","",SUM(Lançamentos!C$9:C866))</f>
        <v/>
      </c>
      <c r="J866" s="13" t="str">
        <f>IF(Lançamentos!J866="","",Lançamentos!J866)</f>
        <v/>
      </c>
    </row>
    <row r="867" spans="1:10" ht="23.1" customHeight="1">
      <c r="A867" s="1" t="str">
        <f>IF(ISNUMBER(Lançamentos!A867),Lançamentos!A867,"")</f>
        <v/>
      </c>
      <c r="B867" s="1" t="str">
        <f>IF(Lançamentos!B867="","",Lançamentos!B867)</f>
        <v/>
      </c>
      <c r="C867" s="12" t="str">
        <f>IF(ISNUMBER(Lançamentos!C867),Lançamentos!C867,"")</f>
        <v/>
      </c>
      <c r="D867" s="10" t="str">
        <f>IF(A867="","",SUM(Lançamentos!D$9:D867))</f>
        <v/>
      </c>
      <c r="E867" s="1"/>
      <c r="F867" s="11" t="str">
        <f>IF(A867="","",SUM(Lançamentos!F$9:F867))</f>
        <v/>
      </c>
      <c r="G867" s="11" t="str">
        <f>IF(A867="","",SUM(Lançamentos!G$9:G867))</f>
        <v/>
      </c>
      <c r="H867" s="11" t="str">
        <f>IF(A867="","",SUM(Lançamentos!H$9:H867))</f>
        <v/>
      </c>
      <c r="I867" s="12" t="str">
        <f>IF(A867="","",SUM(Lançamentos!C$9:C867))</f>
        <v/>
      </c>
      <c r="J867" s="13" t="str">
        <f>IF(Lançamentos!J867="","",Lançamentos!J867)</f>
        <v/>
      </c>
    </row>
    <row r="868" spans="1:10" ht="23.1" customHeight="1">
      <c r="A868" s="1" t="str">
        <f>IF(ISNUMBER(Lançamentos!A868),Lançamentos!A868,"")</f>
        <v/>
      </c>
      <c r="B868" s="1" t="str">
        <f>IF(Lançamentos!B868="","",Lançamentos!B868)</f>
        <v/>
      </c>
      <c r="C868" s="12" t="str">
        <f>IF(ISNUMBER(Lançamentos!C868),Lançamentos!C868,"")</f>
        <v/>
      </c>
      <c r="D868" s="10" t="str">
        <f>IF(A868="","",SUM(Lançamentos!D$9:D868))</f>
        <v/>
      </c>
      <c r="E868" s="1"/>
      <c r="F868" s="11" t="str">
        <f>IF(A868="","",SUM(Lançamentos!F$9:F868))</f>
        <v/>
      </c>
      <c r="G868" s="11" t="str">
        <f>IF(A868="","",SUM(Lançamentos!G$9:G868))</f>
        <v/>
      </c>
      <c r="H868" s="11" t="str">
        <f>IF(A868="","",SUM(Lançamentos!H$9:H868))</f>
        <v/>
      </c>
      <c r="I868" s="12" t="str">
        <f>IF(A868="","",SUM(Lançamentos!C$9:C868))</f>
        <v/>
      </c>
      <c r="J868" s="13" t="str">
        <f>IF(Lançamentos!J868="","",Lançamentos!J868)</f>
        <v/>
      </c>
    </row>
    <row r="869" spans="1:10" ht="23.1" customHeight="1">
      <c r="A869" s="1" t="str">
        <f>IF(ISNUMBER(Lançamentos!A869),Lançamentos!A869,"")</f>
        <v/>
      </c>
      <c r="B869" s="1" t="str">
        <f>IF(Lançamentos!B869="","",Lançamentos!B869)</f>
        <v/>
      </c>
      <c r="C869" s="12" t="str">
        <f>IF(ISNUMBER(Lançamentos!C869),Lançamentos!C869,"")</f>
        <v/>
      </c>
      <c r="D869" s="10" t="str">
        <f>IF(A869="","",SUM(Lançamentos!D$9:D869))</f>
        <v/>
      </c>
      <c r="E869" s="1"/>
      <c r="F869" s="11" t="str">
        <f>IF(A869="","",SUM(Lançamentos!F$9:F869))</f>
        <v/>
      </c>
      <c r="G869" s="11" t="str">
        <f>IF(A869="","",SUM(Lançamentos!G$9:G869))</f>
        <v/>
      </c>
      <c r="H869" s="11" t="str">
        <f>IF(A869="","",SUM(Lançamentos!H$9:H869))</f>
        <v/>
      </c>
      <c r="I869" s="12" t="str">
        <f>IF(A869="","",SUM(Lançamentos!C$9:C869))</f>
        <v/>
      </c>
      <c r="J869" s="13" t="str">
        <f>IF(Lançamentos!J869="","",Lançamentos!J869)</f>
        <v/>
      </c>
    </row>
    <row r="870" spans="1:10" ht="23.1" customHeight="1">
      <c r="A870" s="1" t="str">
        <f>IF(ISNUMBER(Lançamentos!A870),Lançamentos!A870,"")</f>
        <v/>
      </c>
      <c r="B870" s="1" t="str">
        <f>IF(Lançamentos!B870="","",Lançamentos!B870)</f>
        <v/>
      </c>
      <c r="C870" s="12" t="str">
        <f>IF(ISNUMBER(Lançamentos!C870),Lançamentos!C870,"")</f>
        <v/>
      </c>
      <c r="D870" s="10" t="str">
        <f>IF(A870="","",SUM(Lançamentos!D$9:D870))</f>
        <v/>
      </c>
      <c r="E870" s="1"/>
      <c r="F870" s="11" t="str">
        <f>IF(A870="","",SUM(Lançamentos!F$9:F870))</f>
        <v/>
      </c>
      <c r="G870" s="11" t="str">
        <f>IF(A870="","",SUM(Lançamentos!G$9:G870))</f>
        <v/>
      </c>
      <c r="H870" s="11" t="str">
        <f>IF(A870="","",SUM(Lançamentos!H$9:H870))</f>
        <v/>
      </c>
      <c r="I870" s="12" t="str">
        <f>IF(A870="","",SUM(Lançamentos!C$9:C870))</f>
        <v/>
      </c>
      <c r="J870" s="13" t="str">
        <f>IF(Lançamentos!J870="","",Lançamentos!J870)</f>
        <v/>
      </c>
    </row>
    <row r="871" spans="1:10" ht="23.1" customHeight="1">
      <c r="A871" s="1" t="str">
        <f>IF(ISNUMBER(Lançamentos!A871),Lançamentos!A871,"")</f>
        <v/>
      </c>
      <c r="B871" s="1" t="str">
        <f>IF(Lançamentos!B871="","",Lançamentos!B871)</f>
        <v/>
      </c>
      <c r="C871" s="12" t="str">
        <f>IF(ISNUMBER(Lançamentos!C871),Lançamentos!C871,"")</f>
        <v/>
      </c>
      <c r="D871" s="10" t="str">
        <f>IF(A871="","",SUM(Lançamentos!D$9:D871))</f>
        <v/>
      </c>
      <c r="E871" s="1"/>
      <c r="F871" s="11" t="str">
        <f>IF(A871="","",SUM(Lançamentos!F$9:F871))</f>
        <v/>
      </c>
      <c r="G871" s="11" t="str">
        <f>IF(A871="","",SUM(Lançamentos!G$9:G871))</f>
        <v/>
      </c>
      <c r="H871" s="11" t="str">
        <f>IF(A871="","",SUM(Lançamentos!H$9:H871))</f>
        <v/>
      </c>
      <c r="I871" s="12" t="str">
        <f>IF(A871="","",SUM(Lançamentos!C$9:C871))</f>
        <v/>
      </c>
      <c r="J871" s="13" t="str">
        <f>IF(Lançamentos!J871="","",Lançamentos!J871)</f>
        <v/>
      </c>
    </row>
    <row r="872" spans="1:10" ht="23.1" customHeight="1">
      <c r="A872" s="1" t="str">
        <f>IF(ISNUMBER(Lançamentos!A872),Lançamentos!A872,"")</f>
        <v/>
      </c>
      <c r="B872" s="1" t="str">
        <f>IF(Lançamentos!B872="","",Lançamentos!B872)</f>
        <v/>
      </c>
      <c r="C872" s="12" t="str">
        <f>IF(ISNUMBER(Lançamentos!C872),Lançamentos!C872,"")</f>
        <v/>
      </c>
      <c r="D872" s="10" t="str">
        <f>IF(A872="","",SUM(Lançamentos!D$9:D872))</f>
        <v/>
      </c>
      <c r="E872" s="1"/>
      <c r="F872" s="11" t="str">
        <f>IF(A872="","",SUM(Lançamentos!F$9:F872))</f>
        <v/>
      </c>
      <c r="G872" s="11" t="str">
        <f>IF(A872="","",SUM(Lançamentos!G$9:G872))</f>
        <v/>
      </c>
      <c r="H872" s="11" t="str">
        <f>IF(A872="","",SUM(Lançamentos!H$9:H872))</f>
        <v/>
      </c>
      <c r="I872" s="12" t="str">
        <f>IF(A872="","",SUM(Lançamentos!C$9:C872))</f>
        <v/>
      </c>
      <c r="J872" s="13" t="str">
        <f>IF(Lançamentos!J872="","",Lançamentos!J872)</f>
        <v/>
      </c>
    </row>
    <row r="873" spans="1:10" ht="23.1" customHeight="1">
      <c r="A873" s="1" t="str">
        <f>IF(ISNUMBER(Lançamentos!A873),Lançamentos!A873,"")</f>
        <v/>
      </c>
      <c r="B873" s="1" t="str">
        <f>IF(Lançamentos!B873="","",Lançamentos!B873)</f>
        <v/>
      </c>
      <c r="C873" s="12" t="str">
        <f>IF(ISNUMBER(Lançamentos!C873),Lançamentos!C873,"")</f>
        <v/>
      </c>
      <c r="D873" s="10" t="str">
        <f>IF(A873="","",SUM(Lançamentos!D$9:D873))</f>
        <v/>
      </c>
      <c r="E873" s="1"/>
      <c r="F873" s="11" t="str">
        <f>IF(A873="","",SUM(Lançamentos!F$9:F873))</f>
        <v/>
      </c>
      <c r="G873" s="11" t="str">
        <f>IF(A873="","",SUM(Lançamentos!G$9:G873))</f>
        <v/>
      </c>
      <c r="H873" s="11" t="str">
        <f>IF(A873="","",SUM(Lançamentos!H$9:H873))</f>
        <v/>
      </c>
      <c r="I873" s="12" t="str">
        <f>IF(A873="","",SUM(Lançamentos!C$9:C873))</f>
        <v/>
      </c>
      <c r="J873" s="13" t="str">
        <f>IF(Lançamentos!J873="","",Lançamentos!J873)</f>
        <v/>
      </c>
    </row>
    <row r="874" spans="1:10" ht="23.1" customHeight="1">
      <c r="A874" s="1" t="str">
        <f>IF(ISNUMBER(Lançamentos!A874),Lançamentos!A874,"")</f>
        <v/>
      </c>
      <c r="B874" s="1" t="str">
        <f>IF(Lançamentos!B874="","",Lançamentos!B874)</f>
        <v/>
      </c>
      <c r="C874" s="12" t="str">
        <f>IF(ISNUMBER(Lançamentos!C874),Lançamentos!C874,"")</f>
        <v/>
      </c>
      <c r="D874" s="10" t="str">
        <f>IF(A874="","",SUM(Lançamentos!D$9:D874))</f>
        <v/>
      </c>
      <c r="E874" s="1"/>
      <c r="F874" s="11" t="str">
        <f>IF(A874="","",SUM(Lançamentos!F$9:F874))</f>
        <v/>
      </c>
      <c r="G874" s="11" t="str">
        <f>IF(A874="","",SUM(Lançamentos!G$9:G874))</f>
        <v/>
      </c>
      <c r="H874" s="11" t="str">
        <f>IF(A874="","",SUM(Lançamentos!H$9:H874))</f>
        <v/>
      </c>
      <c r="I874" s="12" t="str">
        <f>IF(A874="","",SUM(Lançamentos!C$9:C874))</f>
        <v/>
      </c>
      <c r="J874" s="13" t="str">
        <f>IF(Lançamentos!J874="","",Lançamentos!J874)</f>
        <v/>
      </c>
    </row>
    <row r="875" spans="1:10" ht="23.1" customHeight="1">
      <c r="A875" s="1" t="str">
        <f>IF(ISNUMBER(Lançamentos!A875),Lançamentos!A875,"")</f>
        <v/>
      </c>
      <c r="B875" s="1" t="str">
        <f>IF(Lançamentos!B875="","",Lançamentos!B875)</f>
        <v/>
      </c>
      <c r="C875" s="12" t="str">
        <f>IF(ISNUMBER(Lançamentos!C875),Lançamentos!C875,"")</f>
        <v/>
      </c>
      <c r="D875" s="10" t="str">
        <f>IF(A875="","",SUM(Lançamentos!D$9:D875))</f>
        <v/>
      </c>
      <c r="E875" s="1"/>
      <c r="F875" s="11" t="str">
        <f>IF(A875="","",SUM(Lançamentos!F$9:F875))</f>
        <v/>
      </c>
      <c r="G875" s="11" t="str">
        <f>IF(A875="","",SUM(Lançamentos!G$9:G875))</f>
        <v/>
      </c>
      <c r="H875" s="11" t="str">
        <f>IF(A875="","",SUM(Lançamentos!H$9:H875))</f>
        <v/>
      </c>
      <c r="I875" s="12" t="str">
        <f>IF(A875="","",SUM(Lançamentos!C$9:C875))</f>
        <v/>
      </c>
      <c r="J875" s="13" t="str">
        <f>IF(Lançamentos!J875="","",Lançamentos!J875)</f>
        <v/>
      </c>
    </row>
    <row r="876" spans="1:10" ht="23.1" customHeight="1">
      <c r="A876" s="1" t="str">
        <f>IF(ISNUMBER(Lançamentos!A876),Lançamentos!A876,"")</f>
        <v/>
      </c>
      <c r="B876" s="1" t="str">
        <f>IF(Lançamentos!B876="","",Lançamentos!B876)</f>
        <v/>
      </c>
      <c r="C876" s="12" t="str">
        <f>IF(ISNUMBER(Lançamentos!C876),Lançamentos!C876,"")</f>
        <v/>
      </c>
      <c r="D876" s="10" t="str">
        <f>IF(A876="","",SUM(Lançamentos!D$9:D876))</f>
        <v/>
      </c>
      <c r="E876" s="1"/>
      <c r="F876" s="11" t="str">
        <f>IF(A876="","",SUM(Lançamentos!F$9:F876))</f>
        <v/>
      </c>
      <c r="G876" s="11" t="str">
        <f>IF(A876="","",SUM(Lançamentos!G$9:G876))</f>
        <v/>
      </c>
      <c r="H876" s="11" t="str">
        <f>IF(A876="","",SUM(Lançamentos!H$9:H876))</f>
        <v/>
      </c>
      <c r="I876" s="12" t="str">
        <f>IF(A876="","",SUM(Lançamentos!C$9:C876))</f>
        <v/>
      </c>
      <c r="J876" s="13" t="str">
        <f>IF(Lançamentos!J876="","",Lançamentos!J876)</f>
        <v/>
      </c>
    </row>
    <row r="877" spans="1:10" ht="23.1" customHeight="1">
      <c r="A877" s="1" t="str">
        <f>IF(ISNUMBER(Lançamentos!A877),Lançamentos!A877,"")</f>
        <v/>
      </c>
      <c r="B877" s="1" t="str">
        <f>IF(Lançamentos!B877="","",Lançamentos!B877)</f>
        <v/>
      </c>
      <c r="C877" s="12" t="str">
        <f>IF(ISNUMBER(Lançamentos!C877),Lançamentos!C877,"")</f>
        <v/>
      </c>
      <c r="D877" s="10" t="str">
        <f>IF(A877="","",SUM(Lançamentos!D$9:D877))</f>
        <v/>
      </c>
      <c r="E877" s="1"/>
      <c r="F877" s="11" t="str">
        <f>IF(A877="","",SUM(Lançamentos!F$9:F877))</f>
        <v/>
      </c>
      <c r="G877" s="11" t="str">
        <f>IF(A877="","",SUM(Lançamentos!G$9:G877))</f>
        <v/>
      </c>
      <c r="H877" s="11" t="str">
        <f>IF(A877="","",SUM(Lançamentos!H$9:H877))</f>
        <v/>
      </c>
      <c r="I877" s="12" t="str">
        <f>IF(A877="","",SUM(Lançamentos!C$9:C877))</f>
        <v/>
      </c>
      <c r="J877" s="13" t="str">
        <f>IF(Lançamentos!J877="","",Lançamentos!J877)</f>
        <v/>
      </c>
    </row>
    <row r="878" spans="1:10" ht="23.1" customHeight="1">
      <c r="A878" s="1" t="str">
        <f>IF(ISNUMBER(Lançamentos!A878),Lançamentos!A878,"")</f>
        <v/>
      </c>
      <c r="B878" s="1" t="str">
        <f>IF(Lançamentos!B878="","",Lançamentos!B878)</f>
        <v/>
      </c>
      <c r="C878" s="12" t="str">
        <f>IF(ISNUMBER(Lançamentos!C878),Lançamentos!C878,"")</f>
        <v/>
      </c>
      <c r="D878" s="10" t="str">
        <f>IF(A878="","",SUM(Lançamentos!D$9:D878))</f>
        <v/>
      </c>
      <c r="E878" s="1"/>
      <c r="F878" s="11" t="str">
        <f>IF(A878="","",SUM(Lançamentos!F$9:F878))</f>
        <v/>
      </c>
      <c r="G878" s="11" t="str">
        <f>IF(A878="","",SUM(Lançamentos!G$9:G878))</f>
        <v/>
      </c>
      <c r="H878" s="11" t="str">
        <f>IF(A878="","",SUM(Lançamentos!H$9:H878))</f>
        <v/>
      </c>
      <c r="I878" s="12" t="str">
        <f>IF(A878="","",SUM(Lançamentos!C$9:C878))</f>
        <v/>
      </c>
      <c r="J878" s="13" t="str">
        <f>IF(Lançamentos!J878="","",Lançamentos!J878)</f>
        <v/>
      </c>
    </row>
    <row r="879" spans="1:10" ht="23.1" customHeight="1">
      <c r="A879" s="1" t="str">
        <f>IF(ISNUMBER(Lançamentos!A879),Lançamentos!A879,"")</f>
        <v/>
      </c>
      <c r="B879" s="1" t="str">
        <f>IF(Lançamentos!B879="","",Lançamentos!B879)</f>
        <v/>
      </c>
      <c r="C879" s="12" t="str">
        <f>IF(ISNUMBER(Lançamentos!C879),Lançamentos!C879,"")</f>
        <v/>
      </c>
      <c r="D879" s="10" t="str">
        <f>IF(A879="","",SUM(Lançamentos!D$9:D879))</f>
        <v/>
      </c>
      <c r="E879" s="1"/>
      <c r="F879" s="11" t="str">
        <f>IF(A879="","",SUM(Lançamentos!F$9:F879))</f>
        <v/>
      </c>
      <c r="G879" s="11" t="str">
        <f>IF(A879="","",SUM(Lançamentos!G$9:G879))</f>
        <v/>
      </c>
      <c r="H879" s="11" t="str">
        <f>IF(A879="","",SUM(Lançamentos!H$9:H879))</f>
        <v/>
      </c>
      <c r="I879" s="12" t="str">
        <f>IF(A879="","",SUM(Lançamentos!C$9:C879))</f>
        <v/>
      </c>
      <c r="J879" s="13" t="str">
        <f>IF(Lançamentos!J879="","",Lançamentos!J879)</f>
        <v/>
      </c>
    </row>
    <row r="880" spans="1:10" ht="23.1" customHeight="1">
      <c r="A880" s="1" t="str">
        <f>IF(ISNUMBER(Lançamentos!A880),Lançamentos!A880,"")</f>
        <v/>
      </c>
      <c r="B880" s="1" t="str">
        <f>IF(Lançamentos!B880="","",Lançamentos!B880)</f>
        <v/>
      </c>
      <c r="C880" s="12" t="str">
        <f>IF(ISNUMBER(Lançamentos!C880),Lançamentos!C880,"")</f>
        <v/>
      </c>
      <c r="D880" s="10" t="str">
        <f>IF(A880="","",SUM(Lançamentos!D$9:D880))</f>
        <v/>
      </c>
      <c r="E880" s="1"/>
      <c r="F880" s="11" t="str">
        <f>IF(A880="","",SUM(Lançamentos!F$9:F880))</f>
        <v/>
      </c>
      <c r="G880" s="11" t="str">
        <f>IF(A880="","",SUM(Lançamentos!G$9:G880))</f>
        <v/>
      </c>
      <c r="H880" s="11" t="str">
        <f>IF(A880="","",SUM(Lançamentos!H$9:H880))</f>
        <v/>
      </c>
      <c r="I880" s="12" t="str">
        <f>IF(A880="","",SUM(Lançamentos!C$9:C880))</f>
        <v/>
      </c>
      <c r="J880" s="13" t="str">
        <f>IF(Lançamentos!J880="","",Lançamentos!J880)</f>
        <v/>
      </c>
    </row>
    <row r="881" spans="1:10" ht="23.1" customHeight="1">
      <c r="A881" s="1" t="str">
        <f>IF(ISNUMBER(Lançamentos!A881),Lançamentos!A881,"")</f>
        <v/>
      </c>
      <c r="B881" s="1" t="str">
        <f>IF(Lançamentos!B881="","",Lançamentos!B881)</f>
        <v/>
      </c>
      <c r="C881" s="12" t="str">
        <f>IF(ISNUMBER(Lançamentos!C881),Lançamentos!C881,"")</f>
        <v/>
      </c>
      <c r="D881" s="10" t="str">
        <f>IF(A881="","",SUM(Lançamentos!D$9:D881))</f>
        <v/>
      </c>
      <c r="E881" s="1"/>
      <c r="F881" s="11" t="str">
        <f>IF(A881="","",SUM(Lançamentos!F$9:F881))</f>
        <v/>
      </c>
      <c r="G881" s="11" t="str">
        <f>IF(A881="","",SUM(Lançamentos!G$9:G881))</f>
        <v/>
      </c>
      <c r="H881" s="11" t="str">
        <f>IF(A881="","",SUM(Lançamentos!H$9:H881))</f>
        <v/>
      </c>
      <c r="I881" s="12" t="str">
        <f>IF(A881="","",SUM(Lançamentos!C$9:C881))</f>
        <v/>
      </c>
      <c r="J881" s="13" t="str">
        <f>IF(Lançamentos!J881="","",Lançamentos!J881)</f>
        <v/>
      </c>
    </row>
    <row r="882" spans="1:10" ht="23.1" customHeight="1">
      <c r="A882" s="1" t="str">
        <f>IF(ISNUMBER(Lançamentos!A882),Lançamentos!A882,"")</f>
        <v/>
      </c>
      <c r="B882" s="1" t="str">
        <f>IF(Lançamentos!B882="","",Lançamentos!B882)</f>
        <v/>
      </c>
      <c r="C882" s="12" t="str">
        <f>IF(ISNUMBER(Lançamentos!C882),Lançamentos!C882,"")</f>
        <v/>
      </c>
      <c r="D882" s="10" t="str">
        <f>IF(A882="","",SUM(Lançamentos!D$9:D882))</f>
        <v/>
      </c>
      <c r="E882" s="1"/>
      <c r="F882" s="11" t="str">
        <f>IF(A882="","",SUM(Lançamentos!F$9:F882))</f>
        <v/>
      </c>
      <c r="G882" s="11" t="str">
        <f>IF(A882="","",SUM(Lançamentos!G$9:G882))</f>
        <v/>
      </c>
      <c r="H882" s="11" t="str">
        <f>IF(A882="","",SUM(Lançamentos!H$9:H882))</f>
        <v/>
      </c>
      <c r="I882" s="12" t="str">
        <f>IF(A882="","",SUM(Lançamentos!C$9:C882))</f>
        <v/>
      </c>
      <c r="J882" s="13" t="str">
        <f>IF(Lançamentos!J882="","",Lançamentos!J882)</f>
        <v/>
      </c>
    </row>
    <row r="883" spans="1:10" ht="23.1" customHeight="1">
      <c r="A883" s="1" t="str">
        <f>IF(ISNUMBER(Lançamentos!A883),Lançamentos!A883,"")</f>
        <v/>
      </c>
      <c r="B883" s="1" t="str">
        <f>IF(Lançamentos!B883="","",Lançamentos!B883)</f>
        <v/>
      </c>
      <c r="C883" s="12" t="str">
        <f>IF(ISNUMBER(Lançamentos!C883),Lançamentos!C883,"")</f>
        <v/>
      </c>
      <c r="D883" s="10" t="str">
        <f>IF(A883="","",SUM(Lançamentos!D$9:D883))</f>
        <v/>
      </c>
      <c r="E883" s="1"/>
      <c r="F883" s="11" t="str">
        <f>IF(A883="","",SUM(Lançamentos!F$9:F883))</f>
        <v/>
      </c>
      <c r="G883" s="11" t="str">
        <f>IF(A883="","",SUM(Lançamentos!G$9:G883))</f>
        <v/>
      </c>
      <c r="H883" s="11" t="str">
        <f>IF(A883="","",SUM(Lançamentos!H$9:H883))</f>
        <v/>
      </c>
      <c r="I883" s="12" t="str">
        <f>IF(A883="","",SUM(Lançamentos!C$9:C883))</f>
        <v/>
      </c>
      <c r="J883" s="13" t="str">
        <f>IF(Lançamentos!J883="","",Lançamentos!J883)</f>
        <v/>
      </c>
    </row>
    <row r="884" spans="1:10" ht="23.1" customHeight="1">
      <c r="A884" s="1" t="str">
        <f>IF(ISNUMBER(Lançamentos!A884),Lançamentos!A884,"")</f>
        <v/>
      </c>
      <c r="B884" s="1" t="str">
        <f>IF(Lançamentos!B884="","",Lançamentos!B884)</f>
        <v/>
      </c>
      <c r="C884" s="12" t="str">
        <f>IF(ISNUMBER(Lançamentos!C884),Lançamentos!C884,"")</f>
        <v/>
      </c>
      <c r="D884" s="10" t="str">
        <f>IF(A884="","",SUM(Lançamentos!D$9:D884))</f>
        <v/>
      </c>
      <c r="E884" s="1"/>
      <c r="F884" s="11" t="str">
        <f>IF(A884="","",SUM(Lançamentos!F$9:F884))</f>
        <v/>
      </c>
      <c r="G884" s="11" t="str">
        <f>IF(A884="","",SUM(Lançamentos!G$9:G884))</f>
        <v/>
      </c>
      <c r="H884" s="11" t="str">
        <f>IF(A884="","",SUM(Lançamentos!H$9:H884))</f>
        <v/>
      </c>
      <c r="I884" s="12" t="str">
        <f>IF(A884="","",SUM(Lançamentos!C$9:C884))</f>
        <v/>
      </c>
      <c r="J884" s="13" t="str">
        <f>IF(Lançamentos!J884="","",Lançamentos!J884)</f>
        <v/>
      </c>
    </row>
    <row r="885" spans="1:10" ht="23.1" customHeight="1">
      <c r="A885" s="1" t="str">
        <f>IF(ISNUMBER(Lançamentos!A885),Lançamentos!A885,"")</f>
        <v/>
      </c>
      <c r="B885" s="1" t="str">
        <f>IF(Lançamentos!B885="","",Lançamentos!B885)</f>
        <v/>
      </c>
      <c r="C885" s="12" t="str">
        <f>IF(ISNUMBER(Lançamentos!C885),Lançamentos!C885,"")</f>
        <v/>
      </c>
      <c r="D885" s="10" t="str">
        <f>IF(A885="","",SUM(Lançamentos!D$9:D885))</f>
        <v/>
      </c>
      <c r="E885" s="1"/>
      <c r="F885" s="11" t="str">
        <f>IF(A885="","",SUM(Lançamentos!F$9:F885))</f>
        <v/>
      </c>
      <c r="G885" s="11" t="str">
        <f>IF(A885="","",SUM(Lançamentos!G$9:G885))</f>
        <v/>
      </c>
      <c r="H885" s="11" t="str">
        <f>IF(A885="","",SUM(Lançamentos!H$9:H885))</f>
        <v/>
      </c>
      <c r="I885" s="12" t="str">
        <f>IF(A885="","",SUM(Lançamentos!C$9:C885))</f>
        <v/>
      </c>
      <c r="J885" s="13" t="str">
        <f>IF(Lançamentos!J885="","",Lançamentos!J885)</f>
        <v/>
      </c>
    </row>
    <row r="886" spans="1:10" ht="23.1" customHeight="1">
      <c r="A886" s="1" t="str">
        <f>IF(ISNUMBER(Lançamentos!A886),Lançamentos!A886,"")</f>
        <v/>
      </c>
      <c r="B886" s="1" t="str">
        <f>IF(Lançamentos!B886="","",Lançamentos!B886)</f>
        <v/>
      </c>
      <c r="C886" s="12" t="str">
        <f>IF(ISNUMBER(Lançamentos!C886),Lançamentos!C886,"")</f>
        <v/>
      </c>
      <c r="D886" s="10" t="str">
        <f>IF(A886="","",SUM(Lançamentos!D$9:D886))</f>
        <v/>
      </c>
      <c r="E886" s="1"/>
      <c r="F886" s="11" t="str">
        <f>IF(A886="","",SUM(Lançamentos!F$9:F886))</f>
        <v/>
      </c>
      <c r="G886" s="11" t="str">
        <f>IF(A886="","",SUM(Lançamentos!G$9:G886))</f>
        <v/>
      </c>
      <c r="H886" s="11" t="str">
        <f>IF(A886="","",SUM(Lançamentos!H$9:H886))</f>
        <v/>
      </c>
      <c r="I886" s="12" t="str">
        <f>IF(A886="","",SUM(Lançamentos!C$9:C886))</f>
        <v/>
      </c>
      <c r="J886" s="13" t="str">
        <f>IF(Lançamentos!J886="","",Lançamentos!J886)</f>
        <v/>
      </c>
    </row>
    <row r="887" spans="1:10" ht="23.1" customHeight="1">
      <c r="A887" s="1" t="str">
        <f>IF(ISNUMBER(Lançamentos!A887),Lançamentos!A887,"")</f>
        <v/>
      </c>
      <c r="B887" s="1" t="str">
        <f>IF(Lançamentos!B887="","",Lançamentos!B887)</f>
        <v/>
      </c>
      <c r="C887" s="12" t="str">
        <f>IF(ISNUMBER(Lançamentos!C887),Lançamentos!C887,"")</f>
        <v/>
      </c>
      <c r="D887" s="10" t="str">
        <f>IF(A887="","",SUM(Lançamentos!D$9:D887))</f>
        <v/>
      </c>
      <c r="E887" s="1"/>
      <c r="F887" s="11" t="str">
        <f>IF(A887="","",SUM(Lançamentos!F$9:F887))</f>
        <v/>
      </c>
      <c r="G887" s="11" t="str">
        <f>IF(A887="","",SUM(Lançamentos!G$9:G887))</f>
        <v/>
      </c>
      <c r="H887" s="11" t="str">
        <f>IF(A887="","",SUM(Lançamentos!H$9:H887))</f>
        <v/>
      </c>
      <c r="I887" s="12" t="str">
        <f>IF(A887="","",SUM(Lançamentos!C$9:C887))</f>
        <v/>
      </c>
      <c r="J887" s="13" t="str">
        <f>IF(Lançamentos!J887="","",Lançamentos!J887)</f>
        <v/>
      </c>
    </row>
    <row r="888" spans="1:10" ht="23.1" customHeight="1">
      <c r="A888" s="1" t="str">
        <f>IF(ISNUMBER(Lançamentos!A888),Lançamentos!A888,"")</f>
        <v/>
      </c>
      <c r="B888" s="1" t="str">
        <f>IF(Lançamentos!B888="","",Lançamentos!B888)</f>
        <v/>
      </c>
      <c r="C888" s="12" t="str">
        <f>IF(ISNUMBER(Lançamentos!C888),Lançamentos!C888,"")</f>
        <v/>
      </c>
      <c r="D888" s="10" t="str">
        <f>IF(A888="","",SUM(Lançamentos!D$9:D888))</f>
        <v/>
      </c>
      <c r="E888" s="1"/>
      <c r="F888" s="11" t="str">
        <f>IF(A888="","",SUM(Lançamentos!F$9:F888))</f>
        <v/>
      </c>
      <c r="G888" s="11" t="str">
        <f>IF(A888="","",SUM(Lançamentos!G$9:G888))</f>
        <v/>
      </c>
      <c r="H888" s="11" t="str">
        <f>IF(A888="","",SUM(Lançamentos!H$9:H888))</f>
        <v/>
      </c>
      <c r="I888" s="12" t="str">
        <f>IF(A888="","",SUM(Lançamentos!C$9:C888))</f>
        <v/>
      </c>
      <c r="J888" s="13" t="str">
        <f>IF(Lançamentos!J888="","",Lançamentos!J888)</f>
        <v/>
      </c>
    </row>
    <row r="889" spans="1:10" ht="23.1" customHeight="1">
      <c r="A889" s="1" t="str">
        <f>IF(ISNUMBER(Lançamentos!A889),Lançamentos!A889,"")</f>
        <v/>
      </c>
      <c r="B889" s="1" t="str">
        <f>IF(Lançamentos!B889="","",Lançamentos!B889)</f>
        <v/>
      </c>
      <c r="C889" s="12" t="str">
        <f>IF(ISNUMBER(Lançamentos!C889),Lançamentos!C889,"")</f>
        <v/>
      </c>
      <c r="D889" s="10" t="str">
        <f>IF(A889="","",SUM(Lançamentos!D$9:D889))</f>
        <v/>
      </c>
      <c r="E889" s="1"/>
      <c r="F889" s="11" t="str">
        <f>IF(A889="","",SUM(Lançamentos!F$9:F889))</f>
        <v/>
      </c>
      <c r="G889" s="11" t="str">
        <f>IF(A889="","",SUM(Lançamentos!G$9:G889))</f>
        <v/>
      </c>
      <c r="H889" s="11" t="str">
        <f>IF(A889="","",SUM(Lançamentos!H$9:H889))</f>
        <v/>
      </c>
      <c r="I889" s="12" t="str">
        <f>IF(A889="","",SUM(Lançamentos!C$9:C889))</f>
        <v/>
      </c>
      <c r="J889" s="13" t="str">
        <f>IF(Lançamentos!J889="","",Lançamentos!J889)</f>
        <v/>
      </c>
    </row>
    <row r="890" spans="1:10" ht="23.1" customHeight="1">
      <c r="A890" s="1" t="str">
        <f>IF(ISNUMBER(Lançamentos!A890),Lançamentos!A890,"")</f>
        <v/>
      </c>
      <c r="B890" s="1" t="str">
        <f>IF(Lançamentos!B890="","",Lançamentos!B890)</f>
        <v/>
      </c>
      <c r="C890" s="12" t="str">
        <f>IF(ISNUMBER(Lançamentos!C890),Lançamentos!C890,"")</f>
        <v/>
      </c>
      <c r="D890" s="10" t="str">
        <f>IF(A890="","",SUM(Lançamentos!D$9:D890))</f>
        <v/>
      </c>
      <c r="E890" s="1"/>
      <c r="F890" s="11" t="str">
        <f>IF(A890="","",SUM(Lançamentos!F$9:F890))</f>
        <v/>
      </c>
      <c r="G890" s="11" t="str">
        <f>IF(A890="","",SUM(Lançamentos!G$9:G890))</f>
        <v/>
      </c>
      <c r="H890" s="11" t="str">
        <f>IF(A890="","",SUM(Lançamentos!H$9:H890))</f>
        <v/>
      </c>
      <c r="I890" s="12" t="str">
        <f>IF(A890="","",SUM(Lançamentos!C$9:C890))</f>
        <v/>
      </c>
      <c r="J890" s="13" t="str">
        <f>IF(Lançamentos!J890="","",Lançamentos!J890)</f>
        <v/>
      </c>
    </row>
    <row r="891" spans="1:10" ht="23.1" customHeight="1">
      <c r="A891" s="1" t="str">
        <f>IF(ISNUMBER(Lançamentos!A891),Lançamentos!A891,"")</f>
        <v/>
      </c>
      <c r="B891" s="1" t="str">
        <f>IF(Lançamentos!B891="","",Lançamentos!B891)</f>
        <v/>
      </c>
      <c r="C891" s="12" t="str">
        <f>IF(ISNUMBER(Lançamentos!C891),Lançamentos!C891,"")</f>
        <v/>
      </c>
      <c r="D891" s="10" t="str">
        <f>IF(A891="","",SUM(Lançamentos!D$9:D891))</f>
        <v/>
      </c>
      <c r="E891" s="1"/>
      <c r="F891" s="11" t="str">
        <f>IF(A891="","",SUM(Lançamentos!F$9:F891))</f>
        <v/>
      </c>
      <c r="G891" s="11" t="str">
        <f>IF(A891="","",SUM(Lançamentos!G$9:G891))</f>
        <v/>
      </c>
      <c r="H891" s="11" t="str">
        <f>IF(A891="","",SUM(Lançamentos!H$9:H891))</f>
        <v/>
      </c>
      <c r="I891" s="12" t="str">
        <f>IF(A891="","",SUM(Lançamentos!C$9:C891))</f>
        <v/>
      </c>
      <c r="J891" s="13" t="str">
        <f>IF(Lançamentos!J891="","",Lançamentos!J891)</f>
        <v/>
      </c>
    </row>
    <row r="892" spans="1:10" ht="23.1" customHeight="1">
      <c r="A892" s="1" t="str">
        <f>IF(ISNUMBER(Lançamentos!A892),Lançamentos!A892,"")</f>
        <v/>
      </c>
      <c r="B892" s="1" t="str">
        <f>IF(Lançamentos!B892="","",Lançamentos!B892)</f>
        <v/>
      </c>
      <c r="C892" s="12" t="str">
        <f>IF(ISNUMBER(Lançamentos!C892),Lançamentos!C892,"")</f>
        <v/>
      </c>
      <c r="D892" s="10" t="str">
        <f>IF(A892="","",SUM(Lançamentos!D$9:D892))</f>
        <v/>
      </c>
      <c r="E892" s="1"/>
      <c r="F892" s="11" t="str">
        <f>IF(A892="","",SUM(Lançamentos!F$9:F892))</f>
        <v/>
      </c>
      <c r="G892" s="11" t="str">
        <f>IF(A892="","",SUM(Lançamentos!G$9:G892))</f>
        <v/>
      </c>
      <c r="H892" s="11" t="str">
        <f>IF(A892="","",SUM(Lançamentos!H$9:H892))</f>
        <v/>
      </c>
      <c r="I892" s="12" t="str">
        <f>IF(A892="","",SUM(Lançamentos!C$9:C892))</f>
        <v/>
      </c>
      <c r="J892" s="13" t="str">
        <f>IF(Lançamentos!J892="","",Lançamentos!J892)</f>
        <v/>
      </c>
    </row>
    <row r="893" spans="1:10" ht="23.1" customHeight="1">
      <c r="A893" s="1" t="str">
        <f>IF(ISNUMBER(Lançamentos!A893),Lançamentos!A893,"")</f>
        <v/>
      </c>
      <c r="B893" s="1" t="str">
        <f>IF(Lançamentos!B893="","",Lançamentos!B893)</f>
        <v/>
      </c>
      <c r="C893" s="12" t="str">
        <f>IF(ISNUMBER(Lançamentos!C893),Lançamentos!C893,"")</f>
        <v/>
      </c>
      <c r="D893" s="10" t="str">
        <f>IF(A893="","",SUM(Lançamentos!D$9:D893))</f>
        <v/>
      </c>
      <c r="E893" s="1"/>
      <c r="F893" s="11" t="str">
        <f>IF(A893="","",SUM(Lançamentos!F$9:F893))</f>
        <v/>
      </c>
      <c r="G893" s="11" t="str">
        <f>IF(A893="","",SUM(Lançamentos!G$9:G893))</f>
        <v/>
      </c>
      <c r="H893" s="11" t="str">
        <f>IF(A893="","",SUM(Lançamentos!H$9:H893))</f>
        <v/>
      </c>
      <c r="I893" s="12" t="str">
        <f>IF(A893="","",SUM(Lançamentos!C$9:C893))</f>
        <v/>
      </c>
      <c r="J893" s="13" t="str">
        <f>IF(Lançamentos!J893="","",Lançamentos!J893)</f>
        <v/>
      </c>
    </row>
    <row r="894" spans="1:10" ht="23.1" customHeight="1">
      <c r="A894" s="1" t="str">
        <f>IF(ISNUMBER(Lançamentos!A894),Lançamentos!A894,"")</f>
        <v/>
      </c>
      <c r="B894" s="1" t="str">
        <f>IF(Lançamentos!B894="","",Lançamentos!B894)</f>
        <v/>
      </c>
      <c r="C894" s="12" t="str">
        <f>IF(ISNUMBER(Lançamentos!C894),Lançamentos!C894,"")</f>
        <v/>
      </c>
      <c r="D894" s="10" t="str">
        <f>IF(A894="","",SUM(Lançamentos!D$9:D894))</f>
        <v/>
      </c>
      <c r="E894" s="1"/>
      <c r="F894" s="11" t="str">
        <f>IF(A894="","",SUM(Lançamentos!F$9:F894))</f>
        <v/>
      </c>
      <c r="G894" s="11" t="str">
        <f>IF(A894="","",SUM(Lançamentos!G$9:G894))</f>
        <v/>
      </c>
      <c r="H894" s="11" t="str">
        <f>IF(A894="","",SUM(Lançamentos!H$9:H894))</f>
        <v/>
      </c>
      <c r="I894" s="12" t="str">
        <f>IF(A894="","",SUM(Lançamentos!C$9:C894))</f>
        <v/>
      </c>
      <c r="J894" s="13" t="str">
        <f>IF(Lançamentos!J894="","",Lançamentos!J894)</f>
        <v/>
      </c>
    </row>
    <row r="895" spans="1:10" ht="23.1" customHeight="1">
      <c r="A895" s="1" t="str">
        <f>IF(ISNUMBER(Lançamentos!A895),Lançamentos!A895,"")</f>
        <v/>
      </c>
      <c r="B895" s="1" t="str">
        <f>IF(Lançamentos!B895="","",Lançamentos!B895)</f>
        <v/>
      </c>
      <c r="C895" s="12" t="str">
        <f>IF(ISNUMBER(Lançamentos!C895),Lançamentos!C895,"")</f>
        <v/>
      </c>
      <c r="D895" s="10" t="str">
        <f>IF(A895="","",SUM(Lançamentos!D$9:D895))</f>
        <v/>
      </c>
      <c r="E895" s="1"/>
      <c r="F895" s="11" t="str">
        <f>IF(A895="","",SUM(Lançamentos!F$9:F895))</f>
        <v/>
      </c>
      <c r="G895" s="11" t="str">
        <f>IF(A895="","",SUM(Lançamentos!G$9:G895))</f>
        <v/>
      </c>
      <c r="H895" s="11" t="str">
        <f>IF(A895="","",SUM(Lançamentos!H$9:H895))</f>
        <v/>
      </c>
      <c r="I895" s="12" t="str">
        <f>IF(A895="","",SUM(Lançamentos!C$9:C895))</f>
        <v/>
      </c>
      <c r="J895" s="13" t="str">
        <f>IF(Lançamentos!J895="","",Lançamentos!J895)</f>
        <v/>
      </c>
    </row>
    <row r="896" spans="1:10" ht="23.1" customHeight="1">
      <c r="A896" s="1" t="str">
        <f>IF(ISNUMBER(Lançamentos!A896),Lançamentos!A896,"")</f>
        <v/>
      </c>
      <c r="B896" s="1" t="str">
        <f>IF(Lançamentos!B896="","",Lançamentos!B896)</f>
        <v/>
      </c>
      <c r="C896" s="12" t="str">
        <f>IF(ISNUMBER(Lançamentos!C896),Lançamentos!C896,"")</f>
        <v/>
      </c>
      <c r="D896" s="10" t="str">
        <f>IF(A896="","",SUM(Lançamentos!D$9:D896))</f>
        <v/>
      </c>
      <c r="E896" s="1"/>
      <c r="F896" s="11" t="str">
        <f>IF(A896="","",SUM(Lançamentos!F$9:F896))</f>
        <v/>
      </c>
      <c r="G896" s="11" t="str">
        <f>IF(A896="","",SUM(Lançamentos!G$9:G896))</f>
        <v/>
      </c>
      <c r="H896" s="11" t="str">
        <f>IF(A896="","",SUM(Lançamentos!H$9:H896))</f>
        <v/>
      </c>
      <c r="I896" s="12" t="str">
        <f>IF(A896="","",SUM(Lançamentos!C$9:C896))</f>
        <v/>
      </c>
      <c r="J896" s="13" t="str">
        <f>IF(Lançamentos!J896="","",Lançamentos!J896)</f>
        <v/>
      </c>
    </row>
    <row r="897" spans="1:10" ht="23.1" customHeight="1">
      <c r="A897" s="1" t="str">
        <f>IF(ISNUMBER(Lançamentos!A897),Lançamentos!A897,"")</f>
        <v/>
      </c>
      <c r="B897" s="1" t="str">
        <f>IF(Lançamentos!B897="","",Lançamentos!B897)</f>
        <v/>
      </c>
      <c r="C897" s="12" t="str">
        <f>IF(ISNUMBER(Lançamentos!C897),Lançamentos!C897,"")</f>
        <v/>
      </c>
      <c r="D897" s="10" t="str">
        <f>IF(A897="","",SUM(Lançamentos!D$9:D897))</f>
        <v/>
      </c>
      <c r="E897" s="1"/>
      <c r="F897" s="11" t="str">
        <f>IF(A897="","",SUM(Lançamentos!F$9:F897))</f>
        <v/>
      </c>
      <c r="G897" s="11" t="str">
        <f>IF(A897="","",SUM(Lançamentos!G$9:G897))</f>
        <v/>
      </c>
      <c r="H897" s="11" t="str">
        <f>IF(A897="","",SUM(Lançamentos!H$9:H897))</f>
        <v/>
      </c>
      <c r="I897" s="12" t="str">
        <f>IF(A897="","",SUM(Lançamentos!C$9:C897))</f>
        <v/>
      </c>
      <c r="J897" s="13" t="str">
        <f>IF(Lançamentos!J897="","",Lançamentos!J897)</f>
        <v/>
      </c>
    </row>
    <row r="898" spans="1:10" ht="23.1" customHeight="1">
      <c r="A898" s="1" t="str">
        <f>IF(ISNUMBER(Lançamentos!A898),Lançamentos!A898,"")</f>
        <v/>
      </c>
      <c r="B898" s="1" t="str">
        <f>IF(Lançamentos!B898="","",Lançamentos!B898)</f>
        <v/>
      </c>
      <c r="C898" s="12" t="str">
        <f>IF(ISNUMBER(Lançamentos!C898),Lançamentos!C898,"")</f>
        <v/>
      </c>
      <c r="D898" s="10" t="str">
        <f>IF(A898="","",SUM(Lançamentos!D$9:D898))</f>
        <v/>
      </c>
      <c r="E898" s="1"/>
      <c r="F898" s="11" t="str">
        <f>IF(A898="","",SUM(Lançamentos!F$9:F898))</f>
        <v/>
      </c>
      <c r="G898" s="11" t="str">
        <f>IF(A898="","",SUM(Lançamentos!G$9:G898))</f>
        <v/>
      </c>
      <c r="H898" s="11" t="str">
        <f>IF(A898="","",SUM(Lançamentos!H$9:H898))</f>
        <v/>
      </c>
      <c r="I898" s="12" t="str">
        <f>IF(A898="","",SUM(Lançamentos!C$9:C898))</f>
        <v/>
      </c>
      <c r="J898" s="13" t="str">
        <f>IF(Lançamentos!J898="","",Lançamentos!J898)</f>
        <v/>
      </c>
    </row>
    <row r="899" spans="1:10" ht="23.1" customHeight="1">
      <c r="A899" s="1" t="str">
        <f>IF(ISNUMBER(Lançamentos!A899),Lançamentos!A899,"")</f>
        <v/>
      </c>
      <c r="B899" s="1" t="str">
        <f>IF(Lançamentos!B899="","",Lançamentos!B899)</f>
        <v/>
      </c>
      <c r="C899" s="12" t="str">
        <f>IF(ISNUMBER(Lançamentos!C899),Lançamentos!C899,"")</f>
        <v/>
      </c>
      <c r="D899" s="10" t="str">
        <f>IF(A899="","",SUM(Lançamentos!D$9:D899))</f>
        <v/>
      </c>
      <c r="E899" s="1"/>
      <c r="F899" s="11" t="str">
        <f>IF(A899="","",SUM(Lançamentos!F$9:F899))</f>
        <v/>
      </c>
      <c r="G899" s="11" t="str">
        <f>IF(A899="","",SUM(Lançamentos!G$9:G899))</f>
        <v/>
      </c>
      <c r="H899" s="11" t="str">
        <f>IF(A899="","",SUM(Lançamentos!H$9:H899))</f>
        <v/>
      </c>
      <c r="I899" s="12" t="str">
        <f>IF(A899="","",SUM(Lançamentos!C$9:C899))</f>
        <v/>
      </c>
      <c r="J899" s="13" t="str">
        <f>IF(Lançamentos!J899="","",Lançamentos!J899)</f>
        <v/>
      </c>
    </row>
    <row r="900" spans="1:10" ht="23.1" customHeight="1">
      <c r="A900" s="1" t="str">
        <f>IF(ISNUMBER(Lançamentos!A900),Lançamentos!A900,"")</f>
        <v/>
      </c>
      <c r="B900" s="1" t="str">
        <f>IF(Lançamentos!B900="","",Lançamentos!B900)</f>
        <v/>
      </c>
      <c r="C900" s="12" t="str">
        <f>IF(ISNUMBER(Lançamentos!C900),Lançamentos!C900,"")</f>
        <v/>
      </c>
      <c r="D900" s="10" t="str">
        <f>IF(A900="","",SUM(Lançamentos!D$9:D900))</f>
        <v/>
      </c>
      <c r="E900" s="1"/>
      <c r="F900" s="11" t="str">
        <f>IF(A900="","",SUM(Lançamentos!F$9:F900))</f>
        <v/>
      </c>
      <c r="G900" s="11" t="str">
        <f>IF(A900="","",SUM(Lançamentos!G$9:G900))</f>
        <v/>
      </c>
      <c r="H900" s="11" t="str">
        <f>IF(A900="","",SUM(Lançamentos!H$9:H900))</f>
        <v/>
      </c>
      <c r="I900" s="12" t="str">
        <f>IF(A900="","",SUM(Lançamentos!C$9:C900))</f>
        <v/>
      </c>
      <c r="J900" s="13" t="str">
        <f>IF(Lançamentos!J900="","",Lançamentos!J900)</f>
        <v/>
      </c>
    </row>
    <row r="901" spans="1:10" ht="23.1" customHeight="1">
      <c r="A901" s="1" t="str">
        <f>IF(ISNUMBER(Lançamentos!A901),Lançamentos!A901,"")</f>
        <v/>
      </c>
      <c r="B901" s="1" t="str">
        <f>IF(Lançamentos!B901="","",Lançamentos!B901)</f>
        <v/>
      </c>
      <c r="C901" s="12" t="str">
        <f>IF(ISNUMBER(Lançamentos!C901),Lançamentos!C901,"")</f>
        <v/>
      </c>
      <c r="D901" s="10" t="str">
        <f>IF(A901="","",SUM(Lançamentos!D$9:D901))</f>
        <v/>
      </c>
      <c r="E901" s="1"/>
      <c r="F901" s="11" t="str">
        <f>IF(A901="","",SUM(Lançamentos!F$9:F901))</f>
        <v/>
      </c>
      <c r="G901" s="11" t="str">
        <f>IF(A901="","",SUM(Lançamentos!G$9:G901))</f>
        <v/>
      </c>
      <c r="H901" s="11" t="str">
        <f>IF(A901="","",SUM(Lançamentos!H$9:H901))</f>
        <v/>
      </c>
      <c r="I901" s="12" t="str">
        <f>IF(A901="","",SUM(Lançamentos!C$9:C901))</f>
        <v/>
      </c>
      <c r="J901" s="13" t="str">
        <f>IF(Lançamentos!J901="","",Lançamentos!J901)</f>
        <v/>
      </c>
    </row>
    <row r="902" spans="1:10" ht="23.1" customHeight="1">
      <c r="A902" s="1" t="str">
        <f>IF(ISNUMBER(Lançamentos!A902),Lançamentos!A902,"")</f>
        <v/>
      </c>
      <c r="B902" s="1" t="str">
        <f>IF(Lançamentos!B902="","",Lançamentos!B902)</f>
        <v/>
      </c>
      <c r="C902" s="12" t="str">
        <f>IF(ISNUMBER(Lançamentos!C902),Lançamentos!C902,"")</f>
        <v/>
      </c>
      <c r="D902" s="10" t="str">
        <f>IF(A902="","",SUM(Lançamentos!D$9:D902))</f>
        <v/>
      </c>
      <c r="E902" s="1"/>
      <c r="F902" s="11" t="str">
        <f>IF(A902="","",SUM(Lançamentos!F$9:F902))</f>
        <v/>
      </c>
      <c r="G902" s="11" t="str">
        <f>IF(A902="","",SUM(Lançamentos!G$9:G902))</f>
        <v/>
      </c>
      <c r="H902" s="11" t="str">
        <f>IF(A902="","",SUM(Lançamentos!H$9:H902))</f>
        <v/>
      </c>
      <c r="I902" s="12" t="str">
        <f>IF(A902="","",SUM(Lançamentos!C$9:C902))</f>
        <v/>
      </c>
      <c r="J902" s="13" t="str">
        <f>IF(Lançamentos!J902="","",Lançamentos!J902)</f>
        <v/>
      </c>
    </row>
    <row r="903" spans="1:10" ht="23.1" customHeight="1">
      <c r="A903" s="1" t="str">
        <f>IF(ISNUMBER(Lançamentos!A903),Lançamentos!A903,"")</f>
        <v/>
      </c>
      <c r="B903" s="1" t="str">
        <f>IF(Lançamentos!B903="","",Lançamentos!B903)</f>
        <v/>
      </c>
      <c r="C903" s="12" t="str">
        <f>IF(ISNUMBER(Lançamentos!C903),Lançamentos!C903,"")</f>
        <v/>
      </c>
      <c r="D903" s="10" t="str">
        <f>IF(A903="","",SUM(Lançamentos!D$9:D903))</f>
        <v/>
      </c>
      <c r="E903" s="1"/>
      <c r="F903" s="11" t="str">
        <f>IF(A903="","",SUM(Lançamentos!F$9:F903))</f>
        <v/>
      </c>
      <c r="G903" s="11" t="str">
        <f>IF(A903="","",SUM(Lançamentos!G$9:G903))</f>
        <v/>
      </c>
      <c r="H903" s="11" t="str">
        <f>IF(A903="","",SUM(Lançamentos!H$9:H903))</f>
        <v/>
      </c>
      <c r="I903" s="12" t="str">
        <f>IF(A903="","",SUM(Lançamentos!C$9:C903))</f>
        <v/>
      </c>
      <c r="J903" s="13" t="str">
        <f>IF(Lançamentos!J903="","",Lançamentos!J903)</f>
        <v/>
      </c>
    </row>
    <row r="904" spans="1:10" ht="23.1" customHeight="1">
      <c r="A904" s="1" t="str">
        <f>IF(ISNUMBER(Lançamentos!A904),Lançamentos!A904,"")</f>
        <v/>
      </c>
      <c r="B904" s="1" t="str">
        <f>IF(Lançamentos!B904="","",Lançamentos!B904)</f>
        <v/>
      </c>
      <c r="C904" s="12" t="str">
        <f>IF(ISNUMBER(Lançamentos!C904),Lançamentos!C904,"")</f>
        <v/>
      </c>
      <c r="D904" s="10" t="str">
        <f>IF(A904="","",SUM(Lançamentos!D$9:D904))</f>
        <v/>
      </c>
      <c r="E904" s="1"/>
      <c r="F904" s="11" t="str">
        <f>IF(A904="","",SUM(Lançamentos!F$9:F904))</f>
        <v/>
      </c>
      <c r="G904" s="11" t="str">
        <f>IF(A904="","",SUM(Lançamentos!G$9:G904))</f>
        <v/>
      </c>
      <c r="H904" s="11" t="str">
        <f>IF(A904="","",SUM(Lançamentos!H$9:H904))</f>
        <v/>
      </c>
      <c r="I904" s="12" t="str">
        <f>IF(A904="","",SUM(Lançamentos!C$9:C904))</f>
        <v/>
      </c>
      <c r="J904" s="13" t="str">
        <f>IF(Lançamentos!J904="","",Lançamentos!J904)</f>
        <v/>
      </c>
    </row>
    <row r="905" spans="1:10" ht="23.1" customHeight="1">
      <c r="A905" s="1" t="str">
        <f>IF(ISNUMBER(Lançamentos!A905),Lançamentos!A905,"")</f>
        <v/>
      </c>
      <c r="B905" s="1" t="str">
        <f>IF(Lançamentos!B905="","",Lançamentos!B905)</f>
        <v/>
      </c>
      <c r="C905" s="12" t="str">
        <f>IF(ISNUMBER(Lançamentos!C905),Lançamentos!C905,"")</f>
        <v/>
      </c>
      <c r="D905" s="10" t="str">
        <f>IF(A905="","",SUM(Lançamentos!D$9:D905))</f>
        <v/>
      </c>
      <c r="E905" s="1"/>
      <c r="F905" s="11" t="str">
        <f>IF(A905="","",SUM(Lançamentos!F$9:F905))</f>
        <v/>
      </c>
      <c r="G905" s="11" t="str">
        <f>IF(A905="","",SUM(Lançamentos!G$9:G905))</f>
        <v/>
      </c>
      <c r="H905" s="11" t="str">
        <f>IF(A905="","",SUM(Lançamentos!H$9:H905))</f>
        <v/>
      </c>
      <c r="I905" s="12" t="str">
        <f>IF(A905="","",SUM(Lançamentos!C$9:C905))</f>
        <v/>
      </c>
      <c r="J905" s="13" t="str">
        <f>IF(Lançamentos!J905="","",Lançamentos!J905)</f>
        <v/>
      </c>
    </row>
    <row r="906" spans="1:10" ht="23.1" customHeight="1">
      <c r="A906" s="1" t="str">
        <f>IF(ISNUMBER(Lançamentos!A906),Lançamentos!A906,"")</f>
        <v/>
      </c>
      <c r="B906" s="1" t="str">
        <f>IF(Lançamentos!B906="","",Lançamentos!B906)</f>
        <v/>
      </c>
      <c r="C906" s="12" t="str">
        <f>IF(ISNUMBER(Lançamentos!C906),Lançamentos!C906,"")</f>
        <v/>
      </c>
      <c r="D906" s="10" t="str">
        <f>IF(A906="","",SUM(Lançamentos!D$9:D906))</f>
        <v/>
      </c>
      <c r="E906" s="1"/>
      <c r="F906" s="11" t="str">
        <f>IF(A906="","",SUM(Lançamentos!F$9:F906))</f>
        <v/>
      </c>
      <c r="G906" s="11" t="str">
        <f>IF(A906="","",SUM(Lançamentos!G$9:G906))</f>
        <v/>
      </c>
      <c r="H906" s="11" t="str">
        <f>IF(A906="","",SUM(Lançamentos!H$9:H906))</f>
        <v/>
      </c>
      <c r="I906" s="12" t="str">
        <f>IF(A906="","",SUM(Lançamentos!C$9:C906))</f>
        <v/>
      </c>
      <c r="J906" s="13" t="str">
        <f>IF(Lançamentos!J906="","",Lançamentos!J906)</f>
        <v/>
      </c>
    </row>
    <row r="907" spans="1:10" ht="23.1" customHeight="1">
      <c r="A907" s="1" t="str">
        <f>IF(ISNUMBER(Lançamentos!A907),Lançamentos!A907,"")</f>
        <v/>
      </c>
      <c r="B907" s="1" t="str">
        <f>IF(Lançamentos!B907="","",Lançamentos!B907)</f>
        <v/>
      </c>
      <c r="C907" s="12" t="str">
        <f>IF(ISNUMBER(Lançamentos!C907),Lançamentos!C907,"")</f>
        <v/>
      </c>
      <c r="D907" s="10" t="str">
        <f>IF(A907="","",SUM(Lançamentos!D$9:D907))</f>
        <v/>
      </c>
      <c r="E907" s="1"/>
      <c r="F907" s="11" t="str">
        <f>IF(A907="","",SUM(Lançamentos!F$9:F907))</f>
        <v/>
      </c>
      <c r="G907" s="11" t="str">
        <f>IF(A907="","",SUM(Lançamentos!G$9:G907))</f>
        <v/>
      </c>
      <c r="H907" s="11" t="str">
        <f>IF(A907="","",SUM(Lançamentos!H$9:H907))</f>
        <v/>
      </c>
      <c r="I907" s="12" t="str">
        <f>IF(A907="","",SUM(Lançamentos!C$9:C907))</f>
        <v/>
      </c>
      <c r="J907" s="13" t="str">
        <f>IF(Lançamentos!J907="","",Lançamentos!J907)</f>
        <v/>
      </c>
    </row>
    <row r="908" spans="1:10" ht="23.1" customHeight="1">
      <c r="A908" s="1" t="str">
        <f>IF(ISNUMBER(Lançamentos!A908),Lançamentos!A908,"")</f>
        <v/>
      </c>
      <c r="B908" s="1" t="str">
        <f>IF(Lançamentos!B908="","",Lançamentos!B908)</f>
        <v/>
      </c>
      <c r="C908" s="12" t="str">
        <f>IF(ISNUMBER(Lançamentos!C908),Lançamentos!C908,"")</f>
        <v/>
      </c>
      <c r="D908" s="10" t="str">
        <f>IF(A908="","",SUM(Lançamentos!D$9:D908))</f>
        <v/>
      </c>
      <c r="E908" s="1"/>
      <c r="F908" s="11" t="str">
        <f>IF(A908="","",SUM(Lançamentos!F$9:F908))</f>
        <v/>
      </c>
      <c r="G908" s="11" t="str">
        <f>IF(A908="","",SUM(Lançamentos!G$9:G908))</f>
        <v/>
      </c>
      <c r="H908" s="11" t="str">
        <f>IF(A908="","",SUM(Lançamentos!H$9:H908))</f>
        <v/>
      </c>
      <c r="I908" s="12" t="str">
        <f>IF(A908="","",SUM(Lançamentos!C$9:C908))</f>
        <v/>
      </c>
      <c r="J908" s="13" t="str">
        <f>IF(Lançamentos!J908="","",Lançamentos!J908)</f>
        <v/>
      </c>
    </row>
    <row r="909" spans="1:10" ht="23.1" customHeight="1">
      <c r="A909" s="1" t="str">
        <f>IF(ISNUMBER(Lançamentos!A909),Lançamentos!A909,"")</f>
        <v/>
      </c>
      <c r="B909" s="1" t="str">
        <f>IF(Lançamentos!B909="","",Lançamentos!B909)</f>
        <v/>
      </c>
      <c r="C909" s="12" t="str">
        <f>IF(ISNUMBER(Lançamentos!C909),Lançamentos!C909,"")</f>
        <v/>
      </c>
      <c r="D909" s="10" t="str">
        <f>IF(A909="","",SUM(Lançamentos!D$9:D909))</f>
        <v/>
      </c>
      <c r="E909" s="1"/>
      <c r="F909" s="11" t="str">
        <f>IF(A909="","",SUM(Lançamentos!F$9:F909))</f>
        <v/>
      </c>
      <c r="G909" s="11" t="str">
        <f>IF(A909="","",SUM(Lançamentos!G$9:G909))</f>
        <v/>
      </c>
      <c r="H909" s="11" t="str">
        <f>IF(A909="","",SUM(Lançamentos!H$9:H909))</f>
        <v/>
      </c>
      <c r="I909" s="12" t="str">
        <f>IF(A909="","",SUM(Lançamentos!C$9:C909))</f>
        <v/>
      </c>
      <c r="J909" s="13" t="str">
        <f>IF(Lançamentos!J909="","",Lançamentos!J909)</f>
        <v/>
      </c>
    </row>
    <row r="910" spans="1:10" ht="23.1" customHeight="1">
      <c r="A910" s="1" t="str">
        <f>IF(ISNUMBER(Lançamentos!A910),Lançamentos!A910,"")</f>
        <v/>
      </c>
      <c r="B910" s="1" t="str">
        <f>IF(Lançamentos!B910="","",Lançamentos!B910)</f>
        <v/>
      </c>
      <c r="C910" s="12" t="str">
        <f>IF(ISNUMBER(Lançamentos!C910),Lançamentos!C910,"")</f>
        <v/>
      </c>
      <c r="D910" s="10" t="str">
        <f>IF(A910="","",SUM(Lançamentos!D$9:D910))</f>
        <v/>
      </c>
      <c r="E910" s="1"/>
      <c r="F910" s="11" t="str">
        <f>IF(A910="","",SUM(Lançamentos!F$9:F910))</f>
        <v/>
      </c>
      <c r="G910" s="11" t="str">
        <f>IF(A910="","",SUM(Lançamentos!G$9:G910))</f>
        <v/>
      </c>
      <c r="H910" s="11" t="str">
        <f>IF(A910="","",SUM(Lançamentos!H$9:H910))</f>
        <v/>
      </c>
      <c r="I910" s="12" t="str">
        <f>IF(A910="","",SUM(Lançamentos!C$9:C910))</f>
        <v/>
      </c>
      <c r="J910" s="13" t="str">
        <f>IF(Lançamentos!J910="","",Lançamentos!J910)</f>
        <v/>
      </c>
    </row>
    <row r="911" spans="1:10" ht="23.1" customHeight="1">
      <c r="A911" s="1" t="str">
        <f>IF(ISNUMBER(Lançamentos!A911),Lançamentos!A911,"")</f>
        <v/>
      </c>
      <c r="B911" s="1" t="str">
        <f>IF(Lançamentos!B911="","",Lançamentos!B911)</f>
        <v/>
      </c>
      <c r="C911" s="12" t="str">
        <f>IF(ISNUMBER(Lançamentos!C911),Lançamentos!C911,"")</f>
        <v/>
      </c>
      <c r="D911" s="10" t="str">
        <f>IF(A911="","",SUM(Lançamentos!D$9:D911))</f>
        <v/>
      </c>
      <c r="E911" s="1"/>
      <c r="F911" s="11" t="str">
        <f>IF(A911="","",SUM(Lançamentos!F$9:F911))</f>
        <v/>
      </c>
      <c r="G911" s="11" t="str">
        <f>IF(A911="","",SUM(Lançamentos!G$9:G911))</f>
        <v/>
      </c>
      <c r="H911" s="11" t="str">
        <f>IF(A911="","",SUM(Lançamentos!H$9:H911))</f>
        <v/>
      </c>
      <c r="I911" s="12" t="str">
        <f>IF(A911="","",SUM(Lançamentos!C$9:C911))</f>
        <v/>
      </c>
      <c r="J911" s="13" t="str">
        <f>IF(Lançamentos!J911="","",Lançamentos!J911)</f>
        <v/>
      </c>
    </row>
    <row r="912" spans="1:10" ht="23.1" customHeight="1">
      <c r="A912" s="1" t="str">
        <f>IF(ISNUMBER(Lançamentos!A912),Lançamentos!A912,"")</f>
        <v/>
      </c>
      <c r="B912" s="1" t="str">
        <f>IF(Lançamentos!B912="","",Lançamentos!B912)</f>
        <v/>
      </c>
      <c r="C912" s="12" t="str">
        <f>IF(ISNUMBER(Lançamentos!C912),Lançamentos!C912,"")</f>
        <v/>
      </c>
      <c r="D912" s="10" t="str">
        <f>IF(A912="","",SUM(Lançamentos!D$9:D912))</f>
        <v/>
      </c>
      <c r="E912" s="1"/>
      <c r="F912" s="11" t="str">
        <f>IF(A912="","",SUM(Lançamentos!F$9:F912))</f>
        <v/>
      </c>
      <c r="G912" s="11" t="str">
        <f>IF(A912="","",SUM(Lançamentos!G$9:G912))</f>
        <v/>
      </c>
      <c r="H912" s="11" t="str">
        <f>IF(A912="","",SUM(Lançamentos!H$9:H912))</f>
        <v/>
      </c>
      <c r="I912" s="12" t="str">
        <f>IF(A912="","",SUM(Lançamentos!C$9:C912))</f>
        <v/>
      </c>
      <c r="J912" s="13" t="str">
        <f>IF(Lançamentos!J912="","",Lançamentos!J912)</f>
        <v/>
      </c>
    </row>
    <row r="913" spans="1:10" ht="23.1" customHeight="1">
      <c r="A913" s="1" t="str">
        <f>IF(ISNUMBER(Lançamentos!A913),Lançamentos!A913,"")</f>
        <v/>
      </c>
      <c r="B913" s="1" t="str">
        <f>IF(Lançamentos!B913="","",Lançamentos!B913)</f>
        <v/>
      </c>
      <c r="C913" s="12" t="str">
        <f>IF(ISNUMBER(Lançamentos!C913),Lançamentos!C913,"")</f>
        <v/>
      </c>
      <c r="D913" s="10" t="str">
        <f>IF(A913="","",SUM(Lançamentos!D$9:D913))</f>
        <v/>
      </c>
      <c r="E913" s="1"/>
      <c r="F913" s="11" t="str">
        <f>IF(A913="","",SUM(Lançamentos!F$9:F913))</f>
        <v/>
      </c>
      <c r="G913" s="11" t="str">
        <f>IF(A913="","",SUM(Lançamentos!G$9:G913))</f>
        <v/>
      </c>
      <c r="H913" s="11" t="str">
        <f>IF(A913="","",SUM(Lançamentos!H$9:H913))</f>
        <v/>
      </c>
      <c r="I913" s="12" t="str">
        <f>IF(A913="","",SUM(Lançamentos!C$9:C913))</f>
        <v/>
      </c>
      <c r="J913" s="13" t="str">
        <f>IF(Lançamentos!J913="","",Lançamentos!J913)</f>
        <v/>
      </c>
    </row>
    <row r="914" spans="1:10" ht="23.1" customHeight="1">
      <c r="A914" s="1" t="str">
        <f>IF(ISNUMBER(Lançamentos!A914),Lançamentos!A914,"")</f>
        <v/>
      </c>
      <c r="B914" s="1" t="str">
        <f>IF(Lançamentos!B914="","",Lançamentos!B914)</f>
        <v/>
      </c>
      <c r="C914" s="12" t="str">
        <f>IF(ISNUMBER(Lançamentos!C914),Lançamentos!C914,"")</f>
        <v/>
      </c>
      <c r="D914" s="10" t="str">
        <f>IF(A914="","",SUM(Lançamentos!D$9:D914))</f>
        <v/>
      </c>
      <c r="E914" s="1"/>
      <c r="F914" s="11" t="str">
        <f>IF(A914="","",SUM(Lançamentos!F$9:F914))</f>
        <v/>
      </c>
      <c r="G914" s="11" t="str">
        <f>IF(A914="","",SUM(Lançamentos!G$9:G914))</f>
        <v/>
      </c>
      <c r="H914" s="11" t="str">
        <f>IF(A914="","",SUM(Lançamentos!H$9:H914))</f>
        <v/>
      </c>
      <c r="I914" s="12" t="str">
        <f>IF(A914="","",SUM(Lançamentos!C$9:C914))</f>
        <v/>
      </c>
      <c r="J914" s="13" t="str">
        <f>IF(Lançamentos!J914="","",Lançamentos!J914)</f>
        <v/>
      </c>
    </row>
    <row r="915" spans="1:10" ht="23.1" customHeight="1">
      <c r="A915" s="1" t="str">
        <f>IF(ISNUMBER(Lançamentos!A915),Lançamentos!A915,"")</f>
        <v/>
      </c>
      <c r="B915" s="1" t="str">
        <f>IF(Lançamentos!B915="","",Lançamentos!B915)</f>
        <v/>
      </c>
      <c r="C915" s="12" t="str">
        <f>IF(ISNUMBER(Lançamentos!C915),Lançamentos!C915,"")</f>
        <v/>
      </c>
      <c r="D915" s="10" t="str">
        <f>IF(A915="","",SUM(Lançamentos!D$9:D915))</f>
        <v/>
      </c>
      <c r="E915" s="1"/>
      <c r="F915" s="11" t="str">
        <f>IF(A915="","",SUM(Lançamentos!F$9:F915))</f>
        <v/>
      </c>
      <c r="G915" s="11" t="str">
        <f>IF(A915="","",SUM(Lançamentos!G$9:G915))</f>
        <v/>
      </c>
      <c r="H915" s="11" t="str">
        <f>IF(A915="","",SUM(Lançamentos!H$9:H915))</f>
        <v/>
      </c>
      <c r="I915" s="12" t="str">
        <f>IF(A915="","",SUM(Lançamentos!C$9:C915))</f>
        <v/>
      </c>
      <c r="J915" s="13" t="str">
        <f>IF(Lançamentos!J915="","",Lançamentos!J915)</f>
        <v/>
      </c>
    </row>
    <row r="916" spans="1:10" ht="23.1" customHeight="1">
      <c r="A916" s="1" t="str">
        <f>IF(ISNUMBER(Lançamentos!A916),Lançamentos!A916,"")</f>
        <v/>
      </c>
      <c r="B916" s="1" t="str">
        <f>IF(Lançamentos!B916="","",Lançamentos!B916)</f>
        <v/>
      </c>
      <c r="C916" s="12" t="str">
        <f>IF(ISNUMBER(Lançamentos!C916),Lançamentos!C916,"")</f>
        <v/>
      </c>
      <c r="D916" s="10" t="str">
        <f>IF(A916="","",SUM(Lançamentos!D$9:D916))</f>
        <v/>
      </c>
      <c r="E916" s="1"/>
      <c r="F916" s="11" t="str">
        <f>IF(A916="","",SUM(Lançamentos!F$9:F916))</f>
        <v/>
      </c>
      <c r="G916" s="11" t="str">
        <f>IF(A916="","",SUM(Lançamentos!G$9:G916))</f>
        <v/>
      </c>
      <c r="H916" s="11" t="str">
        <f>IF(A916="","",SUM(Lançamentos!H$9:H916))</f>
        <v/>
      </c>
      <c r="I916" s="12" t="str">
        <f>IF(A916="","",SUM(Lançamentos!C$9:C916))</f>
        <v/>
      </c>
      <c r="J916" s="13" t="str">
        <f>IF(Lançamentos!J916="","",Lançamentos!J916)</f>
        <v/>
      </c>
    </row>
    <row r="917" spans="1:10" ht="23.1" customHeight="1">
      <c r="A917" s="1" t="str">
        <f>IF(ISNUMBER(Lançamentos!A917),Lançamentos!A917,"")</f>
        <v/>
      </c>
      <c r="B917" s="1" t="str">
        <f>IF(Lançamentos!B917="","",Lançamentos!B917)</f>
        <v/>
      </c>
      <c r="C917" s="12" t="str">
        <f>IF(ISNUMBER(Lançamentos!C917),Lançamentos!C917,"")</f>
        <v/>
      </c>
      <c r="D917" s="10" t="str">
        <f>IF(A917="","",SUM(Lançamentos!D$9:D917))</f>
        <v/>
      </c>
      <c r="E917" s="1"/>
      <c r="F917" s="11" t="str">
        <f>IF(A917="","",SUM(Lançamentos!F$9:F917))</f>
        <v/>
      </c>
      <c r="G917" s="11" t="str">
        <f>IF(A917="","",SUM(Lançamentos!G$9:G917))</f>
        <v/>
      </c>
      <c r="H917" s="11" t="str">
        <f>IF(A917="","",SUM(Lançamentos!H$9:H917))</f>
        <v/>
      </c>
      <c r="I917" s="12" t="str">
        <f>IF(A917="","",SUM(Lançamentos!C$9:C917))</f>
        <v/>
      </c>
      <c r="J917" s="13" t="str">
        <f>IF(Lançamentos!J917="","",Lançamentos!J917)</f>
        <v/>
      </c>
    </row>
    <row r="918" spans="1:10" ht="23.1" customHeight="1">
      <c r="A918" s="1" t="str">
        <f>IF(ISNUMBER(Lançamentos!A918),Lançamentos!A918,"")</f>
        <v/>
      </c>
      <c r="B918" s="1" t="str">
        <f>IF(Lançamentos!B918="","",Lançamentos!B918)</f>
        <v/>
      </c>
      <c r="C918" s="12" t="str">
        <f>IF(ISNUMBER(Lançamentos!C918),Lançamentos!C918,"")</f>
        <v/>
      </c>
      <c r="D918" s="10" t="str">
        <f>IF(A918="","",SUM(Lançamentos!D$9:D918))</f>
        <v/>
      </c>
      <c r="E918" s="1"/>
      <c r="F918" s="11" t="str">
        <f>IF(A918="","",SUM(Lançamentos!F$9:F918))</f>
        <v/>
      </c>
      <c r="G918" s="11" t="str">
        <f>IF(A918="","",SUM(Lançamentos!G$9:G918))</f>
        <v/>
      </c>
      <c r="H918" s="11" t="str">
        <f>IF(A918="","",SUM(Lançamentos!H$9:H918))</f>
        <v/>
      </c>
      <c r="I918" s="12" t="str">
        <f>IF(A918="","",SUM(Lançamentos!C$9:C918))</f>
        <v/>
      </c>
      <c r="J918" s="13" t="str">
        <f>IF(Lançamentos!J918="","",Lançamentos!J918)</f>
        <v/>
      </c>
    </row>
    <row r="919" spans="1:10" ht="23.1" customHeight="1">
      <c r="A919" s="1" t="str">
        <f>IF(ISNUMBER(Lançamentos!A919),Lançamentos!A919,"")</f>
        <v/>
      </c>
      <c r="B919" s="1" t="str">
        <f>IF(Lançamentos!B919="","",Lançamentos!B919)</f>
        <v/>
      </c>
      <c r="C919" s="12" t="str">
        <f>IF(ISNUMBER(Lançamentos!C919),Lançamentos!C919,"")</f>
        <v/>
      </c>
      <c r="D919" s="10" t="str">
        <f>IF(A919="","",SUM(Lançamentos!D$9:D919))</f>
        <v/>
      </c>
      <c r="E919" s="1"/>
      <c r="F919" s="11" t="str">
        <f>IF(A919="","",SUM(Lançamentos!F$9:F919))</f>
        <v/>
      </c>
      <c r="G919" s="11" t="str">
        <f>IF(A919="","",SUM(Lançamentos!G$9:G919))</f>
        <v/>
      </c>
      <c r="H919" s="11" t="str">
        <f>IF(A919="","",SUM(Lançamentos!H$9:H919))</f>
        <v/>
      </c>
      <c r="I919" s="12" t="str">
        <f>IF(A919="","",SUM(Lançamentos!C$9:C919))</f>
        <v/>
      </c>
      <c r="J919" s="13" t="str">
        <f>IF(Lançamentos!J919="","",Lançamentos!J919)</f>
        <v/>
      </c>
    </row>
    <row r="920" spans="1:10" ht="23.1" customHeight="1">
      <c r="A920" s="1" t="str">
        <f>IF(ISNUMBER(Lançamentos!A920),Lançamentos!A920,"")</f>
        <v/>
      </c>
      <c r="B920" s="1" t="str">
        <f>IF(Lançamentos!B920="","",Lançamentos!B920)</f>
        <v/>
      </c>
      <c r="C920" s="12" t="str">
        <f>IF(ISNUMBER(Lançamentos!C920),Lançamentos!C920,"")</f>
        <v/>
      </c>
      <c r="D920" s="10" t="str">
        <f>IF(A920="","",SUM(Lançamentos!D$9:D920))</f>
        <v/>
      </c>
      <c r="E920" s="1"/>
      <c r="F920" s="11" t="str">
        <f>IF(A920="","",SUM(Lançamentos!F$9:F920))</f>
        <v/>
      </c>
      <c r="G920" s="11" t="str">
        <f>IF(A920="","",SUM(Lançamentos!G$9:G920))</f>
        <v/>
      </c>
      <c r="H920" s="11" t="str">
        <f>IF(A920="","",SUM(Lançamentos!H$9:H920))</f>
        <v/>
      </c>
      <c r="I920" s="12" t="str">
        <f>IF(A920="","",SUM(Lançamentos!C$9:C920))</f>
        <v/>
      </c>
      <c r="J920" s="13" t="str">
        <f>IF(Lançamentos!J920="","",Lançamentos!J920)</f>
        <v/>
      </c>
    </row>
    <row r="921" spans="1:10" ht="23.1" customHeight="1">
      <c r="A921" s="1" t="str">
        <f>IF(ISNUMBER(Lançamentos!A921),Lançamentos!A921,"")</f>
        <v/>
      </c>
      <c r="B921" s="1" t="str">
        <f>IF(Lançamentos!B921="","",Lançamentos!B921)</f>
        <v/>
      </c>
      <c r="C921" s="12" t="str">
        <f>IF(ISNUMBER(Lançamentos!C921),Lançamentos!C921,"")</f>
        <v/>
      </c>
      <c r="D921" s="10" t="str">
        <f>IF(A921="","",SUM(Lançamentos!D$9:D921))</f>
        <v/>
      </c>
      <c r="E921" s="1"/>
      <c r="F921" s="11" t="str">
        <f>IF(A921="","",SUM(Lançamentos!F$9:F921))</f>
        <v/>
      </c>
      <c r="G921" s="11" t="str">
        <f>IF(A921="","",SUM(Lançamentos!G$9:G921))</f>
        <v/>
      </c>
      <c r="H921" s="11" t="str">
        <f>IF(A921="","",SUM(Lançamentos!H$9:H921))</f>
        <v/>
      </c>
      <c r="I921" s="12" t="str">
        <f>IF(A921="","",SUM(Lançamentos!C$9:C921))</f>
        <v/>
      </c>
      <c r="J921" s="13" t="str">
        <f>IF(Lançamentos!J921="","",Lançamentos!J921)</f>
        <v/>
      </c>
    </row>
    <row r="922" spans="1:10" ht="23.1" customHeight="1">
      <c r="A922" s="1" t="str">
        <f>IF(ISNUMBER(Lançamentos!A922),Lançamentos!A922,"")</f>
        <v/>
      </c>
      <c r="B922" s="1" t="str">
        <f>IF(Lançamentos!B922="","",Lançamentos!B922)</f>
        <v/>
      </c>
      <c r="C922" s="12" t="str">
        <f>IF(ISNUMBER(Lançamentos!C922),Lançamentos!C922,"")</f>
        <v/>
      </c>
      <c r="D922" s="10" t="str">
        <f>IF(A922="","",SUM(Lançamentos!D$9:D922))</f>
        <v/>
      </c>
      <c r="E922" s="1"/>
      <c r="F922" s="11" t="str">
        <f>IF(A922="","",SUM(Lançamentos!F$9:F922))</f>
        <v/>
      </c>
      <c r="G922" s="11" t="str">
        <f>IF(A922="","",SUM(Lançamentos!G$9:G922))</f>
        <v/>
      </c>
      <c r="H922" s="11" t="str">
        <f>IF(A922="","",SUM(Lançamentos!H$9:H922))</f>
        <v/>
      </c>
      <c r="I922" s="12" t="str">
        <f>IF(A922="","",SUM(Lançamentos!C$9:C922))</f>
        <v/>
      </c>
      <c r="J922" s="13" t="str">
        <f>IF(Lançamentos!J922="","",Lançamentos!J922)</f>
        <v/>
      </c>
    </row>
    <row r="923" spans="1:10" ht="23.1" customHeight="1">
      <c r="A923" s="1" t="str">
        <f>IF(ISNUMBER(Lançamentos!A923),Lançamentos!A923,"")</f>
        <v/>
      </c>
      <c r="B923" s="1" t="str">
        <f>IF(Lançamentos!B923="","",Lançamentos!B923)</f>
        <v/>
      </c>
      <c r="C923" s="12" t="str">
        <f>IF(ISNUMBER(Lançamentos!C923),Lançamentos!C923,"")</f>
        <v/>
      </c>
      <c r="D923" s="10" t="str">
        <f>IF(A923="","",SUM(Lançamentos!D$9:D923))</f>
        <v/>
      </c>
      <c r="E923" s="1"/>
      <c r="F923" s="11" t="str">
        <f>IF(A923="","",SUM(Lançamentos!F$9:F923))</f>
        <v/>
      </c>
      <c r="G923" s="11" t="str">
        <f>IF(A923="","",SUM(Lançamentos!G$9:G923))</f>
        <v/>
      </c>
      <c r="H923" s="11" t="str">
        <f>IF(A923="","",SUM(Lançamentos!H$9:H923))</f>
        <v/>
      </c>
      <c r="I923" s="12" t="str">
        <f>IF(A923="","",SUM(Lançamentos!C$9:C923))</f>
        <v/>
      </c>
      <c r="J923" s="13" t="str">
        <f>IF(Lançamentos!J923="","",Lançamentos!J923)</f>
        <v/>
      </c>
    </row>
    <row r="924" spans="1:10" ht="23.1" customHeight="1">
      <c r="A924" s="1" t="str">
        <f>IF(ISNUMBER(Lançamentos!A924),Lançamentos!A924,"")</f>
        <v/>
      </c>
      <c r="B924" s="1" t="str">
        <f>IF(Lançamentos!B924="","",Lançamentos!B924)</f>
        <v/>
      </c>
      <c r="C924" s="12" t="str">
        <f>IF(ISNUMBER(Lançamentos!C924),Lançamentos!C924,"")</f>
        <v/>
      </c>
      <c r="D924" s="10" t="str">
        <f>IF(A924="","",SUM(Lançamentos!D$9:D924))</f>
        <v/>
      </c>
      <c r="E924" s="1"/>
      <c r="F924" s="11" t="str">
        <f>IF(A924="","",SUM(Lançamentos!F$9:F924))</f>
        <v/>
      </c>
      <c r="G924" s="11" t="str">
        <f>IF(A924="","",SUM(Lançamentos!G$9:G924))</f>
        <v/>
      </c>
      <c r="H924" s="11" t="str">
        <f>IF(A924="","",SUM(Lançamentos!H$9:H924))</f>
        <v/>
      </c>
      <c r="I924" s="12" t="str">
        <f>IF(A924="","",SUM(Lançamentos!C$9:C924))</f>
        <v/>
      </c>
      <c r="J924" s="13" t="str">
        <f>IF(Lançamentos!J924="","",Lançamentos!J924)</f>
        <v/>
      </c>
    </row>
    <row r="925" spans="1:10" ht="23.1" customHeight="1">
      <c r="A925" s="1" t="str">
        <f>IF(ISNUMBER(Lançamentos!A925),Lançamentos!A925,"")</f>
        <v/>
      </c>
      <c r="B925" s="1" t="str">
        <f>IF(Lançamentos!B925="","",Lançamentos!B925)</f>
        <v/>
      </c>
      <c r="C925" s="12" t="str">
        <f>IF(ISNUMBER(Lançamentos!C925),Lançamentos!C925,"")</f>
        <v/>
      </c>
      <c r="D925" s="10" t="str">
        <f>IF(A925="","",SUM(Lançamentos!D$9:D925))</f>
        <v/>
      </c>
      <c r="E925" s="1"/>
      <c r="F925" s="11" t="str">
        <f>IF(A925="","",SUM(Lançamentos!F$9:F925))</f>
        <v/>
      </c>
      <c r="G925" s="11" t="str">
        <f>IF(A925="","",SUM(Lançamentos!G$9:G925))</f>
        <v/>
      </c>
      <c r="H925" s="11" t="str">
        <f>IF(A925="","",SUM(Lançamentos!H$9:H925))</f>
        <v/>
      </c>
      <c r="I925" s="12" t="str">
        <f>IF(A925="","",SUM(Lançamentos!C$9:C925))</f>
        <v/>
      </c>
      <c r="J925" s="13" t="str">
        <f>IF(Lançamentos!J925="","",Lançamentos!J925)</f>
        <v/>
      </c>
    </row>
    <row r="926" spans="1:10" ht="23.1" customHeight="1">
      <c r="A926" s="1" t="str">
        <f>IF(ISNUMBER(Lançamentos!A926),Lançamentos!A926,"")</f>
        <v/>
      </c>
      <c r="B926" s="1" t="str">
        <f>IF(Lançamentos!B926="","",Lançamentos!B926)</f>
        <v/>
      </c>
      <c r="C926" s="12" t="str">
        <f>IF(ISNUMBER(Lançamentos!C926),Lançamentos!C926,"")</f>
        <v/>
      </c>
      <c r="D926" s="10" t="str">
        <f>IF(A926="","",SUM(Lançamentos!D$9:D926))</f>
        <v/>
      </c>
      <c r="E926" s="1"/>
      <c r="F926" s="11" t="str">
        <f>IF(A926="","",SUM(Lançamentos!F$9:F926))</f>
        <v/>
      </c>
      <c r="G926" s="11" t="str">
        <f>IF(A926="","",SUM(Lançamentos!G$9:G926))</f>
        <v/>
      </c>
      <c r="H926" s="11" t="str">
        <f>IF(A926="","",SUM(Lançamentos!H$9:H926))</f>
        <v/>
      </c>
      <c r="I926" s="12" t="str">
        <f>IF(A926="","",SUM(Lançamentos!C$9:C926))</f>
        <v/>
      </c>
      <c r="J926" s="13" t="str">
        <f>IF(Lançamentos!J926="","",Lançamentos!J926)</f>
        <v/>
      </c>
    </row>
    <row r="927" spans="1:10" ht="23.1" customHeight="1">
      <c r="A927" s="1" t="str">
        <f>IF(ISNUMBER(Lançamentos!A927),Lançamentos!A927,"")</f>
        <v/>
      </c>
      <c r="B927" s="1" t="str">
        <f>IF(Lançamentos!B927="","",Lançamentos!B927)</f>
        <v/>
      </c>
      <c r="C927" s="12" t="str">
        <f>IF(ISNUMBER(Lançamentos!C927),Lançamentos!C927,"")</f>
        <v/>
      </c>
      <c r="D927" s="10" t="str">
        <f>IF(A927="","",SUM(Lançamentos!D$9:D927))</f>
        <v/>
      </c>
      <c r="E927" s="1"/>
      <c r="F927" s="11" t="str">
        <f>IF(A927="","",SUM(Lançamentos!F$9:F927))</f>
        <v/>
      </c>
      <c r="G927" s="11" t="str">
        <f>IF(A927="","",SUM(Lançamentos!G$9:G927))</f>
        <v/>
      </c>
      <c r="H927" s="11" t="str">
        <f>IF(A927="","",SUM(Lançamentos!H$9:H927))</f>
        <v/>
      </c>
      <c r="I927" s="12" t="str">
        <f>IF(A927="","",SUM(Lançamentos!C$9:C927))</f>
        <v/>
      </c>
      <c r="J927" s="13" t="str">
        <f>IF(Lançamentos!J927="","",Lançamentos!J927)</f>
        <v/>
      </c>
    </row>
    <row r="928" spans="1:10" ht="23.1" customHeight="1">
      <c r="A928" s="1" t="str">
        <f>IF(ISNUMBER(Lançamentos!A928),Lançamentos!A928,"")</f>
        <v/>
      </c>
      <c r="B928" s="1" t="str">
        <f>IF(Lançamentos!B928="","",Lançamentos!B928)</f>
        <v/>
      </c>
      <c r="C928" s="12" t="str">
        <f>IF(ISNUMBER(Lançamentos!C928),Lançamentos!C928,"")</f>
        <v/>
      </c>
      <c r="D928" s="10" t="str">
        <f>IF(A928="","",SUM(Lançamentos!D$9:D928))</f>
        <v/>
      </c>
      <c r="E928" s="1"/>
      <c r="F928" s="11" t="str">
        <f>IF(A928="","",SUM(Lançamentos!F$9:F928))</f>
        <v/>
      </c>
      <c r="G928" s="11" t="str">
        <f>IF(A928="","",SUM(Lançamentos!G$9:G928))</f>
        <v/>
      </c>
      <c r="H928" s="11" t="str">
        <f>IF(A928="","",SUM(Lançamentos!H$9:H928))</f>
        <v/>
      </c>
      <c r="I928" s="12" t="str">
        <f>IF(A928="","",SUM(Lançamentos!C$9:C928))</f>
        <v/>
      </c>
      <c r="J928" s="13" t="str">
        <f>IF(Lançamentos!J928="","",Lançamentos!J928)</f>
        <v/>
      </c>
    </row>
    <row r="929" spans="1:10" ht="23.1" customHeight="1">
      <c r="A929" s="1" t="str">
        <f>IF(ISNUMBER(Lançamentos!A929),Lançamentos!A929,"")</f>
        <v/>
      </c>
      <c r="B929" s="1" t="str">
        <f>IF(Lançamentos!B929="","",Lançamentos!B929)</f>
        <v/>
      </c>
      <c r="C929" s="12" t="str">
        <f>IF(ISNUMBER(Lançamentos!C929),Lançamentos!C929,"")</f>
        <v/>
      </c>
      <c r="D929" s="10" t="str">
        <f>IF(A929="","",SUM(Lançamentos!D$9:D929))</f>
        <v/>
      </c>
      <c r="E929" s="1"/>
      <c r="F929" s="11" t="str">
        <f>IF(A929="","",SUM(Lançamentos!F$9:F929))</f>
        <v/>
      </c>
      <c r="G929" s="11" t="str">
        <f>IF(A929="","",SUM(Lançamentos!G$9:G929))</f>
        <v/>
      </c>
      <c r="H929" s="11" t="str">
        <f>IF(A929="","",SUM(Lançamentos!H$9:H929))</f>
        <v/>
      </c>
      <c r="I929" s="12" t="str">
        <f>IF(A929="","",SUM(Lançamentos!C$9:C929))</f>
        <v/>
      </c>
      <c r="J929" s="13" t="str">
        <f>IF(Lançamentos!J929="","",Lançamentos!J929)</f>
        <v/>
      </c>
    </row>
    <row r="930" spans="1:10" ht="23.1" customHeight="1">
      <c r="A930" s="1" t="str">
        <f>IF(ISNUMBER(Lançamentos!A930),Lançamentos!A930,"")</f>
        <v/>
      </c>
      <c r="B930" s="1" t="str">
        <f>IF(Lançamentos!B930="","",Lançamentos!B930)</f>
        <v/>
      </c>
      <c r="C930" s="12" t="str">
        <f>IF(ISNUMBER(Lançamentos!C930),Lançamentos!C930,"")</f>
        <v/>
      </c>
      <c r="D930" s="10" t="str">
        <f>IF(A930="","",SUM(Lançamentos!D$9:D930))</f>
        <v/>
      </c>
      <c r="E930" s="1"/>
      <c r="F930" s="11" t="str">
        <f>IF(A930="","",SUM(Lançamentos!F$9:F930))</f>
        <v/>
      </c>
      <c r="G930" s="11" t="str">
        <f>IF(A930="","",SUM(Lançamentos!G$9:G930))</f>
        <v/>
      </c>
      <c r="H930" s="11" t="str">
        <f>IF(A930="","",SUM(Lançamentos!H$9:H930))</f>
        <v/>
      </c>
      <c r="I930" s="12" t="str">
        <f>IF(A930="","",SUM(Lançamentos!C$9:C930))</f>
        <v/>
      </c>
      <c r="J930" s="13" t="str">
        <f>IF(Lançamentos!J930="","",Lançamentos!J930)</f>
        <v/>
      </c>
    </row>
    <row r="931" spans="1:10" ht="23.1" customHeight="1">
      <c r="A931" s="1" t="str">
        <f>IF(ISNUMBER(Lançamentos!A931),Lançamentos!A931,"")</f>
        <v/>
      </c>
      <c r="B931" s="1" t="str">
        <f>IF(Lançamentos!B931="","",Lançamentos!B931)</f>
        <v/>
      </c>
      <c r="C931" s="12" t="str">
        <f>IF(ISNUMBER(Lançamentos!C931),Lançamentos!C931,"")</f>
        <v/>
      </c>
      <c r="D931" s="10" t="str">
        <f>IF(A931="","",SUM(Lançamentos!D$9:D931))</f>
        <v/>
      </c>
      <c r="E931" s="1"/>
      <c r="F931" s="11" t="str">
        <f>IF(A931="","",SUM(Lançamentos!F$9:F931))</f>
        <v/>
      </c>
      <c r="G931" s="11" t="str">
        <f>IF(A931="","",SUM(Lançamentos!G$9:G931))</f>
        <v/>
      </c>
      <c r="H931" s="11" t="str">
        <f>IF(A931="","",SUM(Lançamentos!H$9:H931))</f>
        <v/>
      </c>
      <c r="I931" s="12" t="str">
        <f>IF(A931="","",SUM(Lançamentos!C$9:C931))</f>
        <v/>
      </c>
      <c r="J931" s="13" t="str">
        <f>IF(Lançamentos!J931="","",Lançamentos!J931)</f>
        <v/>
      </c>
    </row>
    <row r="932" spans="1:10" ht="23.1" customHeight="1">
      <c r="A932" s="1" t="str">
        <f>IF(ISNUMBER(Lançamentos!A932),Lançamentos!A932,"")</f>
        <v/>
      </c>
      <c r="B932" s="1" t="str">
        <f>IF(Lançamentos!B932="","",Lançamentos!B932)</f>
        <v/>
      </c>
      <c r="C932" s="12" t="str">
        <f>IF(ISNUMBER(Lançamentos!C932),Lançamentos!C932,"")</f>
        <v/>
      </c>
      <c r="D932" s="10" t="str">
        <f>IF(A932="","",SUM(Lançamentos!D$9:D932))</f>
        <v/>
      </c>
      <c r="E932" s="1"/>
      <c r="F932" s="11" t="str">
        <f>IF(A932="","",SUM(Lançamentos!F$9:F932))</f>
        <v/>
      </c>
      <c r="G932" s="11" t="str">
        <f>IF(A932="","",SUM(Lançamentos!G$9:G932))</f>
        <v/>
      </c>
      <c r="H932" s="11" t="str">
        <f>IF(A932="","",SUM(Lançamentos!H$9:H932))</f>
        <v/>
      </c>
      <c r="I932" s="12" t="str">
        <f>IF(A932="","",SUM(Lançamentos!C$9:C932))</f>
        <v/>
      </c>
      <c r="J932" s="13" t="str">
        <f>IF(Lançamentos!J932="","",Lançamentos!J932)</f>
        <v/>
      </c>
    </row>
    <row r="933" spans="1:10" ht="23.1" customHeight="1">
      <c r="A933" s="1" t="str">
        <f>IF(ISNUMBER(Lançamentos!A933),Lançamentos!A933,"")</f>
        <v/>
      </c>
      <c r="B933" s="1" t="str">
        <f>IF(Lançamentos!B933="","",Lançamentos!B933)</f>
        <v/>
      </c>
      <c r="C933" s="12" t="str">
        <f>IF(ISNUMBER(Lançamentos!C933),Lançamentos!C933,"")</f>
        <v/>
      </c>
      <c r="D933" s="10" t="str">
        <f>IF(A933="","",SUM(Lançamentos!D$9:D933))</f>
        <v/>
      </c>
      <c r="E933" s="1"/>
      <c r="F933" s="11" t="str">
        <f>IF(A933="","",SUM(Lançamentos!F$9:F933))</f>
        <v/>
      </c>
      <c r="G933" s="11" t="str">
        <f>IF(A933="","",SUM(Lançamentos!G$9:G933))</f>
        <v/>
      </c>
      <c r="H933" s="11" t="str">
        <f>IF(A933="","",SUM(Lançamentos!H$9:H933))</f>
        <v/>
      </c>
      <c r="I933" s="12" t="str">
        <f>IF(A933="","",SUM(Lançamentos!C$9:C933))</f>
        <v/>
      </c>
      <c r="J933" s="13" t="str">
        <f>IF(Lançamentos!J933="","",Lançamentos!J933)</f>
        <v/>
      </c>
    </row>
    <row r="934" spans="1:10" ht="23.1" customHeight="1">
      <c r="A934" s="1" t="str">
        <f>IF(ISNUMBER(Lançamentos!A934),Lançamentos!A934,"")</f>
        <v/>
      </c>
      <c r="B934" s="1" t="str">
        <f>IF(Lançamentos!B934="","",Lançamentos!B934)</f>
        <v/>
      </c>
      <c r="C934" s="12" t="str">
        <f>IF(ISNUMBER(Lançamentos!C934),Lançamentos!C934,"")</f>
        <v/>
      </c>
      <c r="D934" s="10" t="str">
        <f>IF(A934="","",SUM(Lançamentos!D$9:D934))</f>
        <v/>
      </c>
      <c r="E934" s="1"/>
      <c r="F934" s="11" t="str">
        <f>IF(A934="","",SUM(Lançamentos!F$9:F934))</f>
        <v/>
      </c>
      <c r="G934" s="11" t="str">
        <f>IF(A934="","",SUM(Lançamentos!G$9:G934))</f>
        <v/>
      </c>
      <c r="H934" s="11" t="str">
        <f>IF(A934="","",SUM(Lançamentos!H$9:H934))</f>
        <v/>
      </c>
      <c r="I934" s="12" t="str">
        <f>IF(A934="","",SUM(Lançamentos!C$9:C934))</f>
        <v/>
      </c>
      <c r="J934" s="13" t="str">
        <f>IF(Lançamentos!J934="","",Lançamentos!J934)</f>
        <v/>
      </c>
    </row>
    <row r="935" spans="1:10" ht="23.1" customHeight="1">
      <c r="A935" s="1" t="str">
        <f>IF(ISNUMBER(Lançamentos!A935),Lançamentos!A935,"")</f>
        <v/>
      </c>
      <c r="B935" s="1" t="str">
        <f>IF(Lançamentos!B935="","",Lançamentos!B935)</f>
        <v/>
      </c>
      <c r="C935" s="12" t="str">
        <f>IF(ISNUMBER(Lançamentos!C935),Lançamentos!C935,"")</f>
        <v/>
      </c>
      <c r="D935" s="10" t="str">
        <f>IF(A935="","",SUM(Lançamentos!D$9:D935))</f>
        <v/>
      </c>
      <c r="E935" s="1"/>
      <c r="F935" s="11" t="str">
        <f>IF(A935="","",SUM(Lançamentos!F$9:F935))</f>
        <v/>
      </c>
      <c r="G935" s="11" t="str">
        <f>IF(A935="","",SUM(Lançamentos!G$9:G935))</f>
        <v/>
      </c>
      <c r="H935" s="11" t="str">
        <f>IF(A935="","",SUM(Lançamentos!H$9:H935))</f>
        <v/>
      </c>
      <c r="I935" s="12" t="str">
        <f>IF(A935="","",SUM(Lançamentos!C$9:C935))</f>
        <v/>
      </c>
      <c r="J935" s="13" t="str">
        <f>IF(Lançamentos!J935="","",Lançamentos!J935)</f>
        <v/>
      </c>
    </row>
    <row r="936" spans="1:10" ht="23.1" customHeight="1">
      <c r="A936" s="1" t="str">
        <f>IF(ISNUMBER(Lançamentos!A936),Lançamentos!A936,"")</f>
        <v/>
      </c>
      <c r="B936" s="1" t="str">
        <f>IF(Lançamentos!B936="","",Lançamentos!B936)</f>
        <v/>
      </c>
      <c r="C936" s="12" t="str">
        <f>IF(ISNUMBER(Lançamentos!C936),Lançamentos!C936,"")</f>
        <v/>
      </c>
      <c r="D936" s="10" t="str">
        <f>IF(A936="","",SUM(Lançamentos!D$9:D936))</f>
        <v/>
      </c>
      <c r="E936" s="1"/>
      <c r="F936" s="11" t="str">
        <f>IF(A936="","",SUM(Lançamentos!F$9:F936))</f>
        <v/>
      </c>
      <c r="G936" s="11" t="str">
        <f>IF(A936="","",SUM(Lançamentos!G$9:G936))</f>
        <v/>
      </c>
      <c r="H936" s="11" t="str">
        <f>IF(A936="","",SUM(Lançamentos!H$9:H936))</f>
        <v/>
      </c>
      <c r="I936" s="12" t="str">
        <f>IF(A936="","",SUM(Lançamentos!C$9:C936))</f>
        <v/>
      </c>
      <c r="J936" s="13" t="str">
        <f>IF(Lançamentos!J936="","",Lançamentos!J936)</f>
        <v/>
      </c>
    </row>
    <row r="937" spans="1:10" ht="23.1" customHeight="1">
      <c r="A937" s="1" t="str">
        <f>IF(ISNUMBER(Lançamentos!A937),Lançamentos!A937,"")</f>
        <v/>
      </c>
      <c r="B937" s="1" t="str">
        <f>IF(Lançamentos!B937="","",Lançamentos!B937)</f>
        <v/>
      </c>
      <c r="C937" s="12" t="str">
        <f>IF(ISNUMBER(Lançamentos!C937),Lançamentos!C937,"")</f>
        <v/>
      </c>
      <c r="D937" s="10" t="str">
        <f>IF(A937="","",SUM(Lançamentos!D$9:D937))</f>
        <v/>
      </c>
      <c r="E937" s="1"/>
      <c r="F937" s="11" t="str">
        <f>IF(A937="","",SUM(Lançamentos!F$9:F937))</f>
        <v/>
      </c>
      <c r="G937" s="11" t="str">
        <f>IF(A937="","",SUM(Lançamentos!G$9:G937))</f>
        <v/>
      </c>
      <c r="H937" s="11" t="str">
        <f>IF(A937="","",SUM(Lançamentos!H$9:H937))</f>
        <v/>
      </c>
      <c r="I937" s="12" t="str">
        <f>IF(A937="","",SUM(Lançamentos!C$9:C937))</f>
        <v/>
      </c>
      <c r="J937" s="13" t="str">
        <f>IF(Lançamentos!J937="","",Lançamentos!J937)</f>
        <v/>
      </c>
    </row>
    <row r="938" spans="1:10" ht="23.1" customHeight="1">
      <c r="A938" s="1" t="str">
        <f>IF(ISNUMBER(Lançamentos!A938),Lançamentos!A938,"")</f>
        <v/>
      </c>
      <c r="B938" s="1" t="str">
        <f>IF(Lançamentos!B938="","",Lançamentos!B938)</f>
        <v/>
      </c>
      <c r="C938" s="12" t="str">
        <f>IF(ISNUMBER(Lançamentos!C938),Lançamentos!C938,"")</f>
        <v/>
      </c>
      <c r="D938" s="10" t="str">
        <f>IF(A938="","",SUM(Lançamentos!D$9:D938))</f>
        <v/>
      </c>
      <c r="E938" s="1"/>
      <c r="F938" s="11" t="str">
        <f>IF(A938="","",SUM(Lançamentos!F$9:F938))</f>
        <v/>
      </c>
      <c r="G938" s="11" t="str">
        <f>IF(A938="","",SUM(Lançamentos!G$9:G938))</f>
        <v/>
      </c>
      <c r="H938" s="11" t="str">
        <f>IF(A938="","",SUM(Lançamentos!H$9:H938))</f>
        <v/>
      </c>
      <c r="I938" s="12" t="str">
        <f>IF(A938="","",SUM(Lançamentos!C$9:C938))</f>
        <v/>
      </c>
      <c r="J938" s="13" t="str">
        <f>IF(Lançamentos!J938="","",Lançamentos!J938)</f>
        <v/>
      </c>
    </row>
    <row r="939" spans="1:10" ht="23.1" customHeight="1">
      <c r="A939" s="1" t="str">
        <f>IF(ISNUMBER(Lançamentos!A939),Lançamentos!A939,"")</f>
        <v/>
      </c>
      <c r="B939" s="1" t="str">
        <f>IF(Lançamentos!B939="","",Lançamentos!B939)</f>
        <v/>
      </c>
      <c r="C939" s="12" t="str">
        <f>IF(ISNUMBER(Lançamentos!C939),Lançamentos!C939,"")</f>
        <v/>
      </c>
      <c r="D939" s="10" t="str">
        <f>IF(A939="","",SUM(Lançamentos!D$9:D939))</f>
        <v/>
      </c>
      <c r="E939" s="1"/>
      <c r="F939" s="11" t="str">
        <f>IF(A939="","",SUM(Lançamentos!F$9:F939))</f>
        <v/>
      </c>
      <c r="G939" s="11" t="str">
        <f>IF(A939="","",SUM(Lançamentos!G$9:G939))</f>
        <v/>
      </c>
      <c r="H939" s="11" t="str">
        <f>IF(A939="","",SUM(Lançamentos!H$9:H939))</f>
        <v/>
      </c>
      <c r="I939" s="12" t="str">
        <f>IF(A939="","",SUM(Lançamentos!C$9:C939))</f>
        <v/>
      </c>
      <c r="J939" s="13" t="str">
        <f>IF(Lançamentos!J939="","",Lançamentos!J939)</f>
        <v/>
      </c>
    </row>
    <row r="940" spans="1:10" ht="23.1" customHeight="1">
      <c r="A940" s="1" t="str">
        <f>IF(ISNUMBER(Lançamentos!A940),Lançamentos!A940,"")</f>
        <v/>
      </c>
      <c r="B940" s="1" t="str">
        <f>IF(Lançamentos!B940="","",Lançamentos!B940)</f>
        <v/>
      </c>
      <c r="C940" s="12" t="str">
        <f>IF(ISNUMBER(Lançamentos!C940),Lançamentos!C940,"")</f>
        <v/>
      </c>
      <c r="D940" s="10" t="str">
        <f>IF(A940="","",SUM(Lançamentos!D$9:D940))</f>
        <v/>
      </c>
      <c r="E940" s="1"/>
      <c r="F940" s="11" t="str">
        <f>IF(A940="","",SUM(Lançamentos!F$9:F940))</f>
        <v/>
      </c>
      <c r="G940" s="11" t="str">
        <f>IF(A940="","",SUM(Lançamentos!G$9:G940))</f>
        <v/>
      </c>
      <c r="H940" s="11" t="str">
        <f>IF(A940="","",SUM(Lançamentos!H$9:H940))</f>
        <v/>
      </c>
      <c r="I940" s="12" t="str">
        <f>IF(A940="","",SUM(Lançamentos!C$9:C940))</f>
        <v/>
      </c>
      <c r="J940" s="13" t="str">
        <f>IF(Lançamentos!J940="","",Lançamentos!J940)</f>
        <v/>
      </c>
    </row>
    <row r="941" spans="1:10" ht="23.1" customHeight="1">
      <c r="A941" s="1" t="str">
        <f>IF(ISNUMBER(Lançamentos!A941),Lançamentos!A941,"")</f>
        <v/>
      </c>
      <c r="B941" s="1" t="str">
        <f>IF(Lançamentos!B941="","",Lançamentos!B941)</f>
        <v/>
      </c>
      <c r="C941" s="12" t="str">
        <f>IF(ISNUMBER(Lançamentos!C941),Lançamentos!C941,"")</f>
        <v/>
      </c>
      <c r="D941" s="10" t="str">
        <f>IF(A941="","",SUM(Lançamentos!D$9:D941))</f>
        <v/>
      </c>
      <c r="E941" s="1"/>
      <c r="F941" s="11" t="str">
        <f>IF(A941="","",SUM(Lançamentos!F$9:F941))</f>
        <v/>
      </c>
      <c r="G941" s="11" t="str">
        <f>IF(A941="","",SUM(Lançamentos!G$9:G941))</f>
        <v/>
      </c>
      <c r="H941" s="11" t="str">
        <f>IF(A941="","",SUM(Lançamentos!H$9:H941))</f>
        <v/>
      </c>
      <c r="I941" s="12" t="str">
        <f>IF(A941="","",SUM(Lançamentos!C$9:C941))</f>
        <v/>
      </c>
      <c r="J941" s="13" t="str">
        <f>IF(Lançamentos!J941="","",Lançamentos!J941)</f>
        <v/>
      </c>
    </row>
    <row r="942" spans="1:10" ht="23.1" customHeight="1">
      <c r="A942" s="1" t="str">
        <f>IF(ISNUMBER(Lançamentos!A942),Lançamentos!A942,"")</f>
        <v/>
      </c>
      <c r="B942" s="1" t="str">
        <f>IF(Lançamentos!B942="","",Lançamentos!B942)</f>
        <v/>
      </c>
      <c r="C942" s="12" t="str">
        <f>IF(ISNUMBER(Lançamentos!C942),Lançamentos!C942,"")</f>
        <v/>
      </c>
      <c r="D942" s="10" t="str">
        <f>IF(A942="","",SUM(Lançamentos!D$9:D942))</f>
        <v/>
      </c>
      <c r="E942" s="1"/>
      <c r="F942" s="11" t="str">
        <f>IF(A942="","",SUM(Lançamentos!F$9:F942))</f>
        <v/>
      </c>
      <c r="G942" s="11" t="str">
        <f>IF(A942="","",SUM(Lançamentos!G$9:G942))</f>
        <v/>
      </c>
      <c r="H942" s="11" t="str">
        <f>IF(A942="","",SUM(Lançamentos!H$9:H942))</f>
        <v/>
      </c>
      <c r="I942" s="12" t="str">
        <f>IF(A942="","",SUM(Lançamentos!C$9:C942))</f>
        <v/>
      </c>
      <c r="J942" s="13" t="str">
        <f>IF(Lançamentos!J942="","",Lançamentos!J942)</f>
        <v/>
      </c>
    </row>
    <row r="943" spans="1:10" ht="23.1" customHeight="1">
      <c r="A943" s="1" t="str">
        <f>IF(ISNUMBER(Lançamentos!A943),Lançamentos!A943,"")</f>
        <v/>
      </c>
      <c r="B943" s="1" t="str">
        <f>IF(Lançamentos!B943="","",Lançamentos!B943)</f>
        <v/>
      </c>
      <c r="C943" s="12" t="str">
        <f>IF(ISNUMBER(Lançamentos!C943),Lançamentos!C943,"")</f>
        <v/>
      </c>
      <c r="D943" s="10" t="str">
        <f>IF(A943="","",SUM(Lançamentos!D$9:D943))</f>
        <v/>
      </c>
      <c r="E943" s="1"/>
      <c r="F943" s="11" t="str">
        <f>IF(A943="","",SUM(Lançamentos!F$9:F943))</f>
        <v/>
      </c>
      <c r="G943" s="11" t="str">
        <f>IF(A943="","",SUM(Lançamentos!G$9:G943))</f>
        <v/>
      </c>
      <c r="H943" s="11" t="str">
        <f>IF(A943="","",SUM(Lançamentos!H$9:H943))</f>
        <v/>
      </c>
      <c r="I943" s="12" t="str">
        <f>IF(A943="","",SUM(Lançamentos!C$9:C943))</f>
        <v/>
      </c>
      <c r="J943" s="13" t="str">
        <f>IF(Lançamentos!J943="","",Lançamentos!J943)</f>
        <v/>
      </c>
    </row>
    <row r="944" spans="1:10" ht="23.1" customHeight="1">
      <c r="A944" s="1" t="str">
        <f>IF(ISNUMBER(Lançamentos!A944),Lançamentos!A944,"")</f>
        <v/>
      </c>
      <c r="B944" s="1" t="str">
        <f>IF(Lançamentos!B944="","",Lançamentos!B944)</f>
        <v/>
      </c>
      <c r="C944" s="12" t="str">
        <f>IF(ISNUMBER(Lançamentos!C944),Lançamentos!C944,"")</f>
        <v/>
      </c>
      <c r="D944" s="10" t="str">
        <f>IF(A944="","",SUM(Lançamentos!D$9:D944))</f>
        <v/>
      </c>
      <c r="E944" s="1"/>
      <c r="F944" s="11" t="str">
        <f>IF(A944="","",SUM(Lançamentos!F$9:F944))</f>
        <v/>
      </c>
      <c r="G944" s="11" t="str">
        <f>IF(A944="","",SUM(Lançamentos!G$9:G944))</f>
        <v/>
      </c>
      <c r="H944" s="11" t="str">
        <f>IF(A944="","",SUM(Lançamentos!H$9:H944))</f>
        <v/>
      </c>
      <c r="I944" s="12" t="str">
        <f>IF(A944="","",SUM(Lançamentos!C$9:C944))</f>
        <v/>
      </c>
      <c r="J944" s="13" t="str">
        <f>IF(Lançamentos!J944="","",Lançamentos!J944)</f>
        <v/>
      </c>
    </row>
    <row r="945" spans="1:10" ht="23.1" customHeight="1">
      <c r="A945" s="1" t="str">
        <f>IF(ISNUMBER(Lançamentos!A945),Lançamentos!A945,"")</f>
        <v/>
      </c>
      <c r="B945" s="1" t="str">
        <f>IF(Lançamentos!B945="","",Lançamentos!B945)</f>
        <v/>
      </c>
      <c r="C945" s="12" t="str">
        <f>IF(ISNUMBER(Lançamentos!C945),Lançamentos!C945,"")</f>
        <v/>
      </c>
      <c r="D945" s="10" t="str">
        <f>IF(A945="","",SUM(Lançamentos!D$9:D945))</f>
        <v/>
      </c>
      <c r="E945" s="1"/>
      <c r="F945" s="11" t="str">
        <f>IF(A945="","",SUM(Lançamentos!F$9:F945))</f>
        <v/>
      </c>
      <c r="G945" s="11" t="str">
        <f>IF(A945="","",SUM(Lançamentos!G$9:G945))</f>
        <v/>
      </c>
      <c r="H945" s="11" t="str">
        <f>IF(A945="","",SUM(Lançamentos!H$9:H945))</f>
        <v/>
      </c>
      <c r="I945" s="12" t="str">
        <f>IF(A945="","",SUM(Lançamentos!C$9:C945))</f>
        <v/>
      </c>
      <c r="J945" s="13" t="str">
        <f>IF(Lançamentos!J945="","",Lançamentos!J945)</f>
        <v/>
      </c>
    </row>
    <row r="946" spans="1:10" ht="23.1" customHeight="1">
      <c r="A946" s="1" t="str">
        <f>IF(ISNUMBER(Lançamentos!A946),Lançamentos!A946,"")</f>
        <v/>
      </c>
      <c r="B946" s="1" t="str">
        <f>IF(Lançamentos!B946="","",Lançamentos!B946)</f>
        <v/>
      </c>
      <c r="C946" s="12" t="str">
        <f>IF(ISNUMBER(Lançamentos!C946),Lançamentos!C946,"")</f>
        <v/>
      </c>
      <c r="D946" s="10" t="str">
        <f>IF(A946="","",SUM(Lançamentos!D$9:D946))</f>
        <v/>
      </c>
      <c r="E946" s="1"/>
      <c r="F946" s="11" t="str">
        <f>IF(A946="","",SUM(Lançamentos!F$9:F946))</f>
        <v/>
      </c>
      <c r="G946" s="11" t="str">
        <f>IF(A946="","",SUM(Lançamentos!G$9:G946))</f>
        <v/>
      </c>
      <c r="H946" s="11" t="str">
        <f>IF(A946="","",SUM(Lançamentos!H$9:H946))</f>
        <v/>
      </c>
      <c r="I946" s="12" t="str">
        <f>IF(A946="","",SUM(Lançamentos!C$9:C946))</f>
        <v/>
      </c>
      <c r="J946" s="13" t="str">
        <f>IF(Lançamentos!J946="","",Lançamentos!J946)</f>
        <v/>
      </c>
    </row>
    <row r="947" spans="1:10" ht="23.1" customHeight="1">
      <c r="A947" s="1" t="str">
        <f>IF(ISNUMBER(Lançamentos!A947),Lançamentos!A947,"")</f>
        <v/>
      </c>
      <c r="B947" s="1" t="str">
        <f>IF(Lançamentos!B947="","",Lançamentos!B947)</f>
        <v/>
      </c>
      <c r="C947" s="12" t="str">
        <f>IF(ISNUMBER(Lançamentos!C947),Lançamentos!C947,"")</f>
        <v/>
      </c>
      <c r="D947" s="10" t="str">
        <f>IF(A947="","",SUM(Lançamentos!D$9:D947))</f>
        <v/>
      </c>
      <c r="E947" s="1"/>
      <c r="F947" s="11" t="str">
        <f>IF(A947="","",SUM(Lançamentos!F$9:F947))</f>
        <v/>
      </c>
      <c r="G947" s="11" t="str">
        <f>IF(A947="","",SUM(Lançamentos!G$9:G947))</f>
        <v/>
      </c>
      <c r="H947" s="11" t="str">
        <f>IF(A947="","",SUM(Lançamentos!H$9:H947))</f>
        <v/>
      </c>
      <c r="I947" s="12" t="str">
        <f>IF(A947="","",SUM(Lançamentos!C$9:C947))</f>
        <v/>
      </c>
      <c r="J947" s="13" t="str">
        <f>IF(Lançamentos!J947="","",Lançamentos!J947)</f>
        <v/>
      </c>
    </row>
    <row r="948" spans="1:10" ht="23.1" customHeight="1">
      <c r="A948" s="1" t="str">
        <f>IF(ISNUMBER(Lançamentos!A948),Lançamentos!A948,"")</f>
        <v/>
      </c>
      <c r="B948" s="1" t="str">
        <f>IF(Lançamentos!B948="","",Lançamentos!B948)</f>
        <v/>
      </c>
      <c r="C948" s="12" t="str">
        <f>IF(ISNUMBER(Lançamentos!C948),Lançamentos!C948,"")</f>
        <v/>
      </c>
      <c r="D948" s="10" t="str">
        <f>IF(A948="","",SUM(Lançamentos!D$9:D948))</f>
        <v/>
      </c>
      <c r="E948" s="1"/>
      <c r="F948" s="11" t="str">
        <f>IF(A948="","",SUM(Lançamentos!F$9:F948))</f>
        <v/>
      </c>
      <c r="G948" s="11" t="str">
        <f>IF(A948="","",SUM(Lançamentos!G$9:G948))</f>
        <v/>
      </c>
      <c r="H948" s="11" t="str">
        <f>IF(A948="","",SUM(Lançamentos!H$9:H948))</f>
        <v/>
      </c>
      <c r="I948" s="12" t="str">
        <f>IF(A948="","",SUM(Lançamentos!C$9:C948))</f>
        <v/>
      </c>
      <c r="J948" s="13" t="str">
        <f>IF(Lançamentos!J948="","",Lançamentos!J948)</f>
        <v/>
      </c>
    </row>
    <row r="949" spans="1:10" ht="23.1" customHeight="1">
      <c r="A949" s="1" t="str">
        <f>IF(ISNUMBER(Lançamentos!A949),Lançamentos!A949,"")</f>
        <v/>
      </c>
      <c r="B949" s="1" t="str">
        <f>IF(Lançamentos!B949="","",Lançamentos!B949)</f>
        <v/>
      </c>
      <c r="C949" s="12" t="str">
        <f>IF(ISNUMBER(Lançamentos!C949),Lançamentos!C949,"")</f>
        <v/>
      </c>
      <c r="D949" s="10" t="str">
        <f>IF(A949="","",SUM(Lançamentos!D$9:D949))</f>
        <v/>
      </c>
      <c r="E949" s="1"/>
      <c r="F949" s="11" t="str">
        <f>IF(A949="","",SUM(Lançamentos!F$9:F949))</f>
        <v/>
      </c>
      <c r="G949" s="11" t="str">
        <f>IF(A949="","",SUM(Lançamentos!G$9:G949))</f>
        <v/>
      </c>
      <c r="H949" s="11" t="str">
        <f>IF(A949="","",SUM(Lançamentos!H$9:H949))</f>
        <v/>
      </c>
      <c r="I949" s="12" t="str">
        <f>IF(A949="","",SUM(Lançamentos!C$9:C949))</f>
        <v/>
      </c>
      <c r="J949" s="13" t="str">
        <f>IF(Lançamentos!J949="","",Lançamentos!J949)</f>
        <v/>
      </c>
    </row>
    <row r="950" spans="1:10" ht="23.1" customHeight="1">
      <c r="A950" s="1" t="str">
        <f>IF(ISNUMBER(Lançamentos!A950),Lançamentos!A950,"")</f>
        <v/>
      </c>
      <c r="B950" s="1" t="str">
        <f>IF(Lançamentos!B950="","",Lançamentos!B950)</f>
        <v/>
      </c>
      <c r="C950" s="12" t="str">
        <f>IF(ISNUMBER(Lançamentos!C950),Lançamentos!C950,"")</f>
        <v/>
      </c>
      <c r="D950" s="10" t="str">
        <f>IF(A950="","",SUM(Lançamentos!D$9:D950))</f>
        <v/>
      </c>
      <c r="E950" s="1"/>
      <c r="F950" s="11" t="str">
        <f>IF(A950="","",SUM(Lançamentos!F$9:F950))</f>
        <v/>
      </c>
      <c r="G950" s="11" t="str">
        <f>IF(A950="","",SUM(Lançamentos!G$9:G950))</f>
        <v/>
      </c>
      <c r="H950" s="11" t="str">
        <f>IF(A950="","",SUM(Lançamentos!H$9:H950))</f>
        <v/>
      </c>
      <c r="I950" s="12" t="str">
        <f>IF(A950="","",SUM(Lançamentos!C$9:C950))</f>
        <v/>
      </c>
      <c r="J950" s="13" t="str">
        <f>IF(Lançamentos!J950="","",Lançamentos!J950)</f>
        <v/>
      </c>
    </row>
    <row r="951" spans="1:10" ht="23.1" customHeight="1">
      <c r="A951" s="1" t="str">
        <f>IF(ISNUMBER(Lançamentos!A951),Lançamentos!A951,"")</f>
        <v/>
      </c>
      <c r="B951" s="1" t="str">
        <f>IF(Lançamentos!B951="","",Lançamentos!B951)</f>
        <v/>
      </c>
      <c r="C951" s="12" t="str">
        <f>IF(ISNUMBER(Lançamentos!C951),Lançamentos!C951,"")</f>
        <v/>
      </c>
      <c r="D951" s="10" t="str">
        <f>IF(A951="","",SUM(Lançamentos!D$9:D951))</f>
        <v/>
      </c>
      <c r="E951" s="1"/>
      <c r="F951" s="11" t="str">
        <f>IF(A951="","",SUM(Lançamentos!F$9:F951))</f>
        <v/>
      </c>
      <c r="G951" s="11" t="str">
        <f>IF(A951="","",SUM(Lançamentos!G$9:G951))</f>
        <v/>
      </c>
      <c r="H951" s="11" t="str">
        <f>IF(A951="","",SUM(Lançamentos!H$9:H951))</f>
        <v/>
      </c>
      <c r="I951" s="12" t="str">
        <f>IF(A951="","",SUM(Lançamentos!C$9:C951))</f>
        <v/>
      </c>
      <c r="J951" s="13" t="str">
        <f>IF(Lançamentos!J951="","",Lançamentos!J951)</f>
        <v/>
      </c>
    </row>
    <row r="952" spans="1:10" ht="23.1" customHeight="1">
      <c r="A952" s="1" t="str">
        <f>IF(ISNUMBER(Lançamentos!A952),Lançamentos!A952,"")</f>
        <v/>
      </c>
      <c r="B952" s="1" t="str">
        <f>IF(Lançamentos!B952="","",Lançamentos!B952)</f>
        <v/>
      </c>
      <c r="C952" s="12" t="str">
        <f>IF(ISNUMBER(Lançamentos!C952),Lançamentos!C952,"")</f>
        <v/>
      </c>
      <c r="D952" s="10" t="str">
        <f>IF(A952="","",SUM(Lançamentos!D$9:D952))</f>
        <v/>
      </c>
      <c r="E952" s="1"/>
      <c r="F952" s="11" t="str">
        <f>IF(A952="","",SUM(Lançamentos!F$9:F952))</f>
        <v/>
      </c>
      <c r="G952" s="11" t="str">
        <f>IF(A952="","",SUM(Lançamentos!G$9:G952))</f>
        <v/>
      </c>
      <c r="H952" s="11" t="str">
        <f>IF(A952="","",SUM(Lançamentos!H$9:H952))</f>
        <v/>
      </c>
      <c r="I952" s="12" t="str">
        <f>IF(A952="","",SUM(Lançamentos!C$9:C952))</f>
        <v/>
      </c>
      <c r="J952" s="13" t="str">
        <f>IF(Lançamentos!J952="","",Lançamentos!J952)</f>
        <v/>
      </c>
    </row>
    <row r="953" spans="1:10" ht="23.1" customHeight="1">
      <c r="A953" s="1" t="str">
        <f>IF(ISNUMBER(Lançamentos!A953),Lançamentos!A953,"")</f>
        <v/>
      </c>
      <c r="B953" s="1" t="str">
        <f>IF(Lançamentos!B953="","",Lançamentos!B953)</f>
        <v/>
      </c>
      <c r="C953" s="12" t="str">
        <f>IF(ISNUMBER(Lançamentos!C953),Lançamentos!C953,"")</f>
        <v/>
      </c>
      <c r="D953" s="10" t="str">
        <f>IF(A953="","",SUM(Lançamentos!D$9:D953))</f>
        <v/>
      </c>
      <c r="E953" s="1"/>
      <c r="F953" s="11" t="str">
        <f>IF(A953="","",SUM(Lançamentos!F$9:F953))</f>
        <v/>
      </c>
      <c r="G953" s="11" t="str">
        <f>IF(A953="","",SUM(Lançamentos!G$9:G953))</f>
        <v/>
      </c>
      <c r="H953" s="11" t="str">
        <f>IF(A953="","",SUM(Lançamentos!H$9:H953))</f>
        <v/>
      </c>
      <c r="I953" s="12" t="str">
        <f>IF(A953="","",SUM(Lançamentos!C$9:C953))</f>
        <v/>
      </c>
      <c r="J953" s="13" t="str">
        <f>IF(Lançamentos!J953="","",Lançamentos!J953)</f>
        <v/>
      </c>
    </row>
    <row r="954" spans="1:10" ht="23.1" customHeight="1">
      <c r="A954" s="1" t="str">
        <f>IF(ISNUMBER(Lançamentos!A954),Lançamentos!A954,"")</f>
        <v/>
      </c>
      <c r="B954" s="1" t="str">
        <f>IF(Lançamentos!B954="","",Lançamentos!B954)</f>
        <v/>
      </c>
      <c r="C954" s="12" t="str">
        <f>IF(ISNUMBER(Lançamentos!C954),Lançamentos!C954,"")</f>
        <v/>
      </c>
      <c r="D954" s="10" t="str">
        <f>IF(A954="","",SUM(Lançamentos!D$9:D954))</f>
        <v/>
      </c>
      <c r="E954" s="1"/>
      <c r="F954" s="11" t="str">
        <f>IF(A954="","",SUM(Lançamentos!F$9:F954))</f>
        <v/>
      </c>
      <c r="G954" s="11" t="str">
        <f>IF(A954="","",SUM(Lançamentos!G$9:G954))</f>
        <v/>
      </c>
      <c r="H954" s="11" t="str">
        <f>IF(A954="","",SUM(Lançamentos!H$9:H954))</f>
        <v/>
      </c>
      <c r="I954" s="12" t="str">
        <f>IF(A954="","",SUM(Lançamentos!C$9:C954))</f>
        <v/>
      </c>
      <c r="J954" s="13" t="str">
        <f>IF(Lançamentos!J954="","",Lançamentos!J954)</f>
        <v/>
      </c>
    </row>
    <row r="955" spans="1:10" ht="23.1" customHeight="1">
      <c r="A955" s="1" t="str">
        <f>IF(ISNUMBER(Lançamentos!A955),Lançamentos!A955,"")</f>
        <v/>
      </c>
      <c r="B955" s="1" t="str">
        <f>IF(Lançamentos!B955="","",Lançamentos!B955)</f>
        <v/>
      </c>
      <c r="C955" s="12" t="str">
        <f>IF(ISNUMBER(Lançamentos!C955),Lançamentos!C955,"")</f>
        <v/>
      </c>
      <c r="D955" s="10" t="str">
        <f>IF(A955="","",SUM(Lançamentos!D$9:D955))</f>
        <v/>
      </c>
      <c r="E955" s="1"/>
      <c r="F955" s="11" t="str">
        <f>IF(A955="","",SUM(Lançamentos!F$9:F955))</f>
        <v/>
      </c>
      <c r="G955" s="11" t="str">
        <f>IF(A955="","",SUM(Lançamentos!G$9:G955))</f>
        <v/>
      </c>
      <c r="H955" s="11" t="str">
        <f>IF(A955="","",SUM(Lançamentos!H$9:H955))</f>
        <v/>
      </c>
      <c r="I955" s="12" t="str">
        <f>IF(A955="","",SUM(Lançamentos!C$9:C955))</f>
        <v/>
      </c>
      <c r="J955" s="13" t="str">
        <f>IF(Lançamentos!J955="","",Lançamentos!J955)</f>
        <v/>
      </c>
    </row>
    <row r="956" spans="1:10" ht="23.1" customHeight="1">
      <c r="A956" s="1" t="str">
        <f>IF(ISNUMBER(Lançamentos!A956),Lançamentos!A956,"")</f>
        <v/>
      </c>
      <c r="B956" s="1" t="str">
        <f>IF(Lançamentos!B956="","",Lançamentos!B956)</f>
        <v/>
      </c>
      <c r="C956" s="12" t="str">
        <f>IF(ISNUMBER(Lançamentos!C956),Lançamentos!C956,"")</f>
        <v/>
      </c>
      <c r="D956" s="10" t="str">
        <f>IF(A956="","",SUM(Lançamentos!D$9:D956))</f>
        <v/>
      </c>
      <c r="E956" s="1"/>
      <c r="F956" s="11" t="str">
        <f>IF(A956="","",SUM(Lançamentos!F$9:F956))</f>
        <v/>
      </c>
      <c r="G956" s="11" t="str">
        <f>IF(A956="","",SUM(Lançamentos!G$9:G956))</f>
        <v/>
      </c>
      <c r="H956" s="11" t="str">
        <f>IF(A956="","",SUM(Lançamentos!H$9:H956))</f>
        <v/>
      </c>
      <c r="I956" s="12" t="str">
        <f>IF(A956="","",SUM(Lançamentos!C$9:C956))</f>
        <v/>
      </c>
      <c r="J956" s="13" t="str">
        <f>IF(Lançamentos!J956="","",Lançamentos!J956)</f>
        <v/>
      </c>
    </row>
    <row r="957" spans="1:10" ht="23.1" customHeight="1">
      <c r="A957" s="1" t="str">
        <f>IF(ISNUMBER(Lançamentos!A957),Lançamentos!A957,"")</f>
        <v/>
      </c>
      <c r="B957" s="1" t="str">
        <f>IF(Lançamentos!B957="","",Lançamentos!B957)</f>
        <v/>
      </c>
      <c r="C957" s="12" t="str">
        <f>IF(ISNUMBER(Lançamentos!C957),Lançamentos!C957,"")</f>
        <v/>
      </c>
      <c r="D957" s="10" t="str">
        <f>IF(A957="","",SUM(Lançamentos!D$9:D957))</f>
        <v/>
      </c>
      <c r="E957" s="1"/>
      <c r="F957" s="11" t="str">
        <f>IF(A957="","",SUM(Lançamentos!F$9:F957))</f>
        <v/>
      </c>
      <c r="G957" s="11" t="str">
        <f>IF(A957="","",SUM(Lançamentos!G$9:G957))</f>
        <v/>
      </c>
      <c r="H957" s="11" t="str">
        <f>IF(A957="","",SUM(Lançamentos!H$9:H957))</f>
        <v/>
      </c>
      <c r="I957" s="12" t="str">
        <f>IF(A957="","",SUM(Lançamentos!C$9:C957))</f>
        <v/>
      </c>
      <c r="J957" s="13" t="str">
        <f>IF(Lançamentos!J957="","",Lançamentos!J957)</f>
        <v/>
      </c>
    </row>
    <row r="958" spans="1:10" ht="23.1" customHeight="1">
      <c r="A958" s="1" t="str">
        <f>IF(ISNUMBER(Lançamentos!A958),Lançamentos!A958,"")</f>
        <v/>
      </c>
      <c r="B958" s="1" t="str">
        <f>IF(Lançamentos!B958="","",Lançamentos!B958)</f>
        <v/>
      </c>
      <c r="C958" s="12" t="str">
        <f>IF(ISNUMBER(Lançamentos!C958),Lançamentos!C958,"")</f>
        <v/>
      </c>
      <c r="D958" s="10" t="str">
        <f>IF(A958="","",SUM(Lançamentos!D$9:D958))</f>
        <v/>
      </c>
      <c r="E958" s="1"/>
      <c r="F958" s="11" t="str">
        <f>IF(A958="","",SUM(Lançamentos!F$9:F958))</f>
        <v/>
      </c>
      <c r="G958" s="11" t="str">
        <f>IF(A958="","",SUM(Lançamentos!G$9:G958))</f>
        <v/>
      </c>
      <c r="H958" s="11" t="str">
        <f>IF(A958="","",SUM(Lançamentos!H$9:H958))</f>
        <v/>
      </c>
      <c r="I958" s="12" t="str">
        <f>IF(A958="","",SUM(Lançamentos!C$9:C958))</f>
        <v/>
      </c>
      <c r="J958" s="13" t="str">
        <f>IF(Lançamentos!J958="","",Lançamentos!J958)</f>
        <v/>
      </c>
    </row>
    <row r="959" spans="1:10" ht="23.1" customHeight="1">
      <c r="A959" s="1" t="str">
        <f>IF(ISNUMBER(Lançamentos!A959),Lançamentos!A959,"")</f>
        <v/>
      </c>
      <c r="B959" s="1" t="str">
        <f>IF(Lançamentos!B959="","",Lançamentos!B959)</f>
        <v/>
      </c>
      <c r="C959" s="12" t="str">
        <f>IF(ISNUMBER(Lançamentos!C959),Lançamentos!C959,"")</f>
        <v/>
      </c>
      <c r="D959" s="10" t="str">
        <f>IF(A959="","",SUM(Lançamentos!D$9:D959))</f>
        <v/>
      </c>
      <c r="E959" s="1"/>
      <c r="F959" s="11" t="str">
        <f>IF(A959="","",SUM(Lançamentos!F$9:F959))</f>
        <v/>
      </c>
      <c r="G959" s="11" t="str">
        <f>IF(A959="","",SUM(Lançamentos!G$9:G959))</f>
        <v/>
      </c>
      <c r="H959" s="11" t="str">
        <f>IF(A959="","",SUM(Lançamentos!H$9:H959))</f>
        <v/>
      </c>
      <c r="I959" s="12" t="str">
        <f>IF(A959="","",SUM(Lançamentos!C$9:C959))</f>
        <v/>
      </c>
      <c r="J959" s="13" t="str">
        <f>IF(Lançamentos!J959="","",Lançamentos!J959)</f>
        <v/>
      </c>
    </row>
    <row r="960" spans="1:10" ht="23.1" customHeight="1">
      <c r="A960" s="1" t="str">
        <f>IF(ISNUMBER(Lançamentos!A960),Lançamentos!A960,"")</f>
        <v/>
      </c>
      <c r="B960" s="1" t="str">
        <f>IF(Lançamentos!B960="","",Lançamentos!B960)</f>
        <v/>
      </c>
      <c r="C960" s="12" t="str">
        <f>IF(ISNUMBER(Lançamentos!C960),Lançamentos!C960,"")</f>
        <v/>
      </c>
      <c r="D960" s="10" t="str">
        <f>IF(A960="","",SUM(Lançamentos!D$9:D960))</f>
        <v/>
      </c>
      <c r="E960" s="1"/>
      <c r="F960" s="11" t="str">
        <f>IF(A960="","",SUM(Lançamentos!F$9:F960))</f>
        <v/>
      </c>
      <c r="G960" s="11" t="str">
        <f>IF(A960="","",SUM(Lançamentos!G$9:G960))</f>
        <v/>
      </c>
      <c r="H960" s="11" t="str">
        <f>IF(A960="","",SUM(Lançamentos!H$9:H960))</f>
        <v/>
      </c>
      <c r="I960" s="12" t="str">
        <f>IF(A960="","",SUM(Lançamentos!C$9:C960))</f>
        <v/>
      </c>
      <c r="J960" s="13" t="str">
        <f>IF(Lançamentos!J960="","",Lançamentos!J960)</f>
        <v/>
      </c>
    </row>
    <row r="961" spans="1:10" ht="23.1" customHeight="1">
      <c r="A961" s="1" t="str">
        <f>IF(ISNUMBER(Lançamentos!A961),Lançamentos!A961,"")</f>
        <v/>
      </c>
      <c r="B961" s="1" t="str">
        <f>IF(Lançamentos!B961="","",Lançamentos!B961)</f>
        <v/>
      </c>
      <c r="C961" s="12" t="str">
        <f>IF(ISNUMBER(Lançamentos!C961),Lançamentos!C961,"")</f>
        <v/>
      </c>
      <c r="D961" s="10" t="str">
        <f>IF(A961="","",SUM(Lançamentos!D$9:D961))</f>
        <v/>
      </c>
      <c r="E961" s="1"/>
      <c r="F961" s="11" t="str">
        <f>IF(A961="","",SUM(Lançamentos!F$9:F961))</f>
        <v/>
      </c>
      <c r="G961" s="11" t="str">
        <f>IF(A961="","",SUM(Lançamentos!G$9:G961))</f>
        <v/>
      </c>
      <c r="H961" s="11" t="str">
        <f>IF(A961="","",SUM(Lançamentos!H$9:H961))</f>
        <v/>
      </c>
      <c r="I961" s="12" t="str">
        <f>IF(A961="","",SUM(Lançamentos!C$9:C961))</f>
        <v/>
      </c>
      <c r="J961" s="13" t="str">
        <f>IF(Lançamentos!J961="","",Lançamentos!J961)</f>
        <v/>
      </c>
    </row>
    <row r="962" spans="1:10" ht="23.1" customHeight="1">
      <c r="A962" s="1" t="str">
        <f>IF(ISNUMBER(Lançamentos!A962),Lançamentos!A962,"")</f>
        <v/>
      </c>
      <c r="B962" s="1" t="str">
        <f>IF(Lançamentos!B962="","",Lançamentos!B962)</f>
        <v/>
      </c>
      <c r="C962" s="12" t="str">
        <f>IF(ISNUMBER(Lançamentos!C962),Lançamentos!C962,"")</f>
        <v/>
      </c>
      <c r="D962" s="10" t="str">
        <f>IF(A962="","",SUM(Lançamentos!D$9:D962))</f>
        <v/>
      </c>
      <c r="E962" s="1"/>
      <c r="F962" s="11" t="str">
        <f>IF(A962="","",SUM(Lançamentos!F$9:F962))</f>
        <v/>
      </c>
      <c r="G962" s="11" t="str">
        <f>IF(A962="","",SUM(Lançamentos!G$9:G962))</f>
        <v/>
      </c>
      <c r="H962" s="11" t="str">
        <f>IF(A962="","",SUM(Lançamentos!H$9:H962))</f>
        <v/>
      </c>
      <c r="I962" s="12" t="str">
        <f>IF(A962="","",SUM(Lançamentos!C$9:C962))</f>
        <v/>
      </c>
      <c r="J962" s="13" t="str">
        <f>IF(Lançamentos!J962="","",Lançamentos!J962)</f>
        <v/>
      </c>
    </row>
    <row r="963" spans="1:10" ht="23.1" customHeight="1">
      <c r="A963" s="1" t="str">
        <f>IF(ISNUMBER(Lançamentos!A963),Lançamentos!A963,"")</f>
        <v/>
      </c>
      <c r="B963" s="1" t="str">
        <f>IF(Lançamentos!B963="","",Lançamentos!B963)</f>
        <v/>
      </c>
      <c r="C963" s="12" t="str">
        <f>IF(ISNUMBER(Lançamentos!C963),Lançamentos!C963,"")</f>
        <v/>
      </c>
      <c r="D963" s="10" t="str">
        <f>IF(A963="","",SUM(Lançamentos!D$9:D963))</f>
        <v/>
      </c>
      <c r="E963" s="1"/>
      <c r="F963" s="11" t="str">
        <f>IF(A963="","",SUM(Lançamentos!F$9:F963))</f>
        <v/>
      </c>
      <c r="G963" s="11" t="str">
        <f>IF(A963="","",SUM(Lançamentos!G$9:G963))</f>
        <v/>
      </c>
      <c r="H963" s="11" t="str">
        <f>IF(A963="","",SUM(Lançamentos!H$9:H963))</f>
        <v/>
      </c>
      <c r="I963" s="12" t="str">
        <f>IF(A963="","",SUM(Lançamentos!C$9:C963))</f>
        <v/>
      </c>
      <c r="J963" s="13" t="str">
        <f>IF(Lançamentos!J963="","",Lançamentos!J963)</f>
        <v/>
      </c>
    </row>
    <row r="964" spans="1:10" ht="23.1" customHeight="1">
      <c r="A964" s="1" t="str">
        <f>IF(ISNUMBER(Lançamentos!A964),Lançamentos!A964,"")</f>
        <v/>
      </c>
      <c r="B964" s="1" t="str">
        <f>IF(Lançamentos!B964="","",Lançamentos!B964)</f>
        <v/>
      </c>
      <c r="C964" s="12" t="str">
        <f>IF(ISNUMBER(Lançamentos!C964),Lançamentos!C964,"")</f>
        <v/>
      </c>
      <c r="D964" s="10" t="str">
        <f>IF(A964="","",SUM(Lançamentos!D$9:D964))</f>
        <v/>
      </c>
      <c r="E964" s="1"/>
      <c r="F964" s="11" t="str">
        <f>IF(A964="","",SUM(Lançamentos!F$9:F964))</f>
        <v/>
      </c>
      <c r="G964" s="11" t="str">
        <f>IF(A964="","",SUM(Lançamentos!G$9:G964))</f>
        <v/>
      </c>
      <c r="H964" s="11" t="str">
        <f>IF(A964="","",SUM(Lançamentos!H$9:H964))</f>
        <v/>
      </c>
      <c r="I964" s="12" t="str">
        <f>IF(A964="","",SUM(Lançamentos!C$9:C964))</f>
        <v/>
      </c>
      <c r="J964" s="13" t="str">
        <f>IF(Lançamentos!J964="","",Lançamentos!J964)</f>
        <v/>
      </c>
    </row>
    <row r="965" spans="1:10" ht="23.1" customHeight="1">
      <c r="A965" s="1" t="str">
        <f>IF(ISNUMBER(Lançamentos!A965),Lançamentos!A965,"")</f>
        <v/>
      </c>
      <c r="B965" s="1" t="str">
        <f>IF(Lançamentos!B965="","",Lançamentos!B965)</f>
        <v/>
      </c>
      <c r="C965" s="12" t="str">
        <f>IF(ISNUMBER(Lançamentos!C965),Lançamentos!C965,"")</f>
        <v/>
      </c>
      <c r="D965" s="10" t="str">
        <f>IF(A965="","",SUM(Lançamentos!D$9:D965))</f>
        <v/>
      </c>
      <c r="E965" s="1"/>
      <c r="F965" s="11" t="str">
        <f>IF(A965="","",SUM(Lançamentos!F$9:F965))</f>
        <v/>
      </c>
      <c r="G965" s="11" t="str">
        <f>IF(A965="","",SUM(Lançamentos!G$9:G965))</f>
        <v/>
      </c>
      <c r="H965" s="11" t="str">
        <f>IF(A965="","",SUM(Lançamentos!H$9:H965))</f>
        <v/>
      </c>
      <c r="I965" s="12" t="str">
        <f>IF(A965="","",SUM(Lançamentos!C$9:C965))</f>
        <v/>
      </c>
      <c r="J965" s="13" t="str">
        <f>IF(Lançamentos!J965="","",Lançamentos!J965)</f>
        <v/>
      </c>
    </row>
    <row r="966" spans="1:10" ht="23.1" customHeight="1">
      <c r="A966" s="1" t="str">
        <f>IF(ISNUMBER(Lançamentos!A966),Lançamentos!A966,"")</f>
        <v/>
      </c>
      <c r="B966" s="1" t="str">
        <f>IF(Lançamentos!B966="","",Lançamentos!B966)</f>
        <v/>
      </c>
      <c r="C966" s="12" t="str">
        <f>IF(ISNUMBER(Lançamentos!C966),Lançamentos!C966,"")</f>
        <v/>
      </c>
      <c r="D966" s="10" t="str">
        <f>IF(A966="","",SUM(Lançamentos!D$9:D966))</f>
        <v/>
      </c>
      <c r="E966" s="1"/>
      <c r="F966" s="11" t="str">
        <f>IF(A966="","",SUM(Lançamentos!F$9:F966))</f>
        <v/>
      </c>
      <c r="G966" s="11" t="str">
        <f>IF(A966="","",SUM(Lançamentos!G$9:G966))</f>
        <v/>
      </c>
      <c r="H966" s="11" t="str">
        <f>IF(A966="","",SUM(Lançamentos!H$9:H966))</f>
        <v/>
      </c>
      <c r="I966" s="12" t="str">
        <f>IF(A966="","",SUM(Lançamentos!C$9:C966))</f>
        <v/>
      </c>
      <c r="J966" s="13" t="str">
        <f>IF(Lançamentos!J966="","",Lançamentos!J966)</f>
        <v/>
      </c>
    </row>
    <row r="967" spans="1:10" ht="23.1" customHeight="1">
      <c r="A967" s="1" t="str">
        <f>IF(ISNUMBER(Lançamentos!A967),Lançamentos!A967,"")</f>
        <v/>
      </c>
      <c r="B967" s="1" t="str">
        <f>IF(Lançamentos!B967="","",Lançamentos!B967)</f>
        <v/>
      </c>
      <c r="C967" s="12" t="str">
        <f>IF(ISNUMBER(Lançamentos!C967),Lançamentos!C967,"")</f>
        <v/>
      </c>
      <c r="D967" s="10" t="str">
        <f>IF(A967="","",SUM(Lançamentos!D$9:D967))</f>
        <v/>
      </c>
      <c r="E967" s="1"/>
      <c r="F967" s="11" t="str">
        <f>IF(A967="","",SUM(Lançamentos!F$9:F967))</f>
        <v/>
      </c>
      <c r="G967" s="11" t="str">
        <f>IF(A967="","",SUM(Lançamentos!G$9:G967))</f>
        <v/>
      </c>
      <c r="H967" s="11" t="str">
        <f>IF(A967="","",SUM(Lançamentos!H$9:H967))</f>
        <v/>
      </c>
      <c r="I967" s="12" t="str">
        <f>IF(A967="","",SUM(Lançamentos!C$9:C967))</f>
        <v/>
      </c>
      <c r="J967" s="13" t="str">
        <f>IF(Lançamentos!J967="","",Lançamentos!J967)</f>
        <v/>
      </c>
    </row>
    <row r="968" spans="1:10" ht="23.1" customHeight="1">
      <c r="A968" s="1" t="str">
        <f>IF(ISNUMBER(Lançamentos!A968),Lançamentos!A968,"")</f>
        <v/>
      </c>
      <c r="B968" s="1" t="str">
        <f>IF(Lançamentos!B968="","",Lançamentos!B968)</f>
        <v/>
      </c>
      <c r="C968" s="12" t="str">
        <f>IF(ISNUMBER(Lançamentos!C968),Lançamentos!C968,"")</f>
        <v/>
      </c>
      <c r="D968" s="10" t="str">
        <f>IF(A968="","",SUM(Lançamentos!D$9:D968))</f>
        <v/>
      </c>
      <c r="E968" s="1"/>
      <c r="F968" s="11" t="str">
        <f>IF(A968="","",SUM(Lançamentos!F$9:F968))</f>
        <v/>
      </c>
      <c r="G968" s="11" t="str">
        <f>IF(A968="","",SUM(Lançamentos!G$9:G968))</f>
        <v/>
      </c>
      <c r="H968" s="11" t="str">
        <f>IF(A968="","",SUM(Lançamentos!H$9:H968))</f>
        <v/>
      </c>
      <c r="I968" s="12" t="str">
        <f>IF(A968="","",SUM(Lançamentos!C$9:C968))</f>
        <v/>
      </c>
      <c r="J968" s="13" t="str">
        <f>IF(Lançamentos!J968="","",Lançamentos!J968)</f>
        <v/>
      </c>
    </row>
    <row r="969" spans="1:10" ht="23.1" customHeight="1">
      <c r="A969" s="1" t="str">
        <f>IF(ISNUMBER(Lançamentos!A969),Lançamentos!A969,"")</f>
        <v/>
      </c>
      <c r="B969" s="1" t="str">
        <f>IF(Lançamentos!B969="","",Lançamentos!B969)</f>
        <v/>
      </c>
      <c r="C969" s="12" t="str">
        <f>IF(ISNUMBER(Lançamentos!C969),Lançamentos!C969,"")</f>
        <v/>
      </c>
      <c r="D969" s="10" t="str">
        <f>IF(A969="","",SUM(Lançamentos!D$9:D969))</f>
        <v/>
      </c>
      <c r="E969" s="1"/>
      <c r="F969" s="11" t="str">
        <f>IF(A969="","",SUM(Lançamentos!F$9:F969))</f>
        <v/>
      </c>
      <c r="G969" s="11" t="str">
        <f>IF(A969="","",SUM(Lançamentos!G$9:G969))</f>
        <v/>
      </c>
      <c r="H969" s="11" t="str">
        <f>IF(A969="","",SUM(Lançamentos!H$9:H969))</f>
        <v/>
      </c>
      <c r="I969" s="12" t="str">
        <f>IF(A969="","",SUM(Lançamentos!C$9:C969))</f>
        <v/>
      </c>
      <c r="J969" s="13" t="str">
        <f>IF(Lançamentos!J969="","",Lançamentos!J969)</f>
        <v/>
      </c>
    </row>
    <row r="970" spans="1:10" ht="23.1" customHeight="1">
      <c r="A970" s="1" t="str">
        <f>IF(ISNUMBER(Lançamentos!A970),Lançamentos!A970,"")</f>
        <v/>
      </c>
      <c r="B970" s="1" t="str">
        <f>IF(Lançamentos!B970="","",Lançamentos!B970)</f>
        <v/>
      </c>
      <c r="C970" s="12" t="str">
        <f>IF(ISNUMBER(Lançamentos!C970),Lançamentos!C970,"")</f>
        <v/>
      </c>
      <c r="D970" s="10" t="str">
        <f>IF(A970="","",SUM(Lançamentos!D$9:D970))</f>
        <v/>
      </c>
      <c r="E970" s="1"/>
      <c r="F970" s="11" t="str">
        <f>IF(A970="","",SUM(Lançamentos!F$9:F970))</f>
        <v/>
      </c>
      <c r="G970" s="11" t="str">
        <f>IF(A970="","",SUM(Lançamentos!G$9:G970))</f>
        <v/>
      </c>
      <c r="H970" s="11" t="str">
        <f>IF(A970="","",SUM(Lançamentos!H$9:H970))</f>
        <v/>
      </c>
      <c r="I970" s="12" t="str">
        <f>IF(A970="","",SUM(Lançamentos!C$9:C970))</f>
        <v/>
      </c>
      <c r="J970" s="13" t="str">
        <f>IF(Lançamentos!J970="","",Lançamentos!J970)</f>
        <v/>
      </c>
    </row>
    <row r="971" spans="1:10" ht="23.1" customHeight="1">
      <c r="A971" s="1" t="str">
        <f>IF(ISNUMBER(Lançamentos!A971),Lançamentos!A971,"")</f>
        <v/>
      </c>
      <c r="B971" s="1" t="str">
        <f>IF(Lançamentos!B971="","",Lançamentos!B971)</f>
        <v/>
      </c>
      <c r="C971" s="12" t="str">
        <f>IF(ISNUMBER(Lançamentos!C971),Lançamentos!C971,"")</f>
        <v/>
      </c>
      <c r="D971" s="10" t="str">
        <f>IF(A971="","",SUM(Lançamentos!D$9:D971))</f>
        <v/>
      </c>
      <c r="E971" s="1"/>
      <c r="F971" s="11" t="str">
        <f>IF(A971="","",SUM(Lançamentos!F$9:F971))</f>
        <v/>
      </c>
      <c r="G971" s="11" t="str">
        <f>IF(A971="","",SUM(Lançamentos!G$9:G971))</f>
        <v/>
      </c>
      <c r="H971" s="11" t="str">
        <f>IF(A971="","",SUM(Lançamentos!H$9:H971))</f>
        <v/>
      </c>
      <c r="I971" s="12" t="str">
        <f>IF(A971="","",SUM(Lançamentos!C$9:C971))</f>
        <v/>
      </c>
      <c r="J971" s="13" t="str">
        <f>IF(Lançamentos!J971="","",Lançamentos!J971)</f>
        <v/>
      </c>
    </row>
    <row r="972" spans="1:10" ht="23.1" customHeight="1">
      <c r="A972" s="1" t="str">
        <f>IF(ISNUMBER(Lançamentos!A972),Lançamentos!A972,"")</f>
        <v/>
      </c>
      <c r="B972" s="1" t="str">
        <f>IF(Lançamentos!B972="","",Lançamentos!B972)</f>
        <v/>
      </c>
      <c r="C972" s="12" t="str">
        <f>IF(ISNUMBER(Lançamentos!C972),Lançamentos!C972,"")</f>
        <v/>
      </c>
      <c r="D972" s="10" t="str">
        <f>IF(A972="","",SUM(Lançamentos!D$9:D972))</f>
        <v/>
      </c>
      <c r="E972" s="1"/>
      <c r="F972" s="11" t="str">
        <f>IF(A972="","",SUM(Lançamentos!F$9:F972))</f>
        <v/>
      </c>
      <c r="G972" s="11" t="str">
        <f>IF(A972="","",SUM(Lançamentos!G$9:G972))</f>
        <v/>
      </c>
      <c r="H972" s="11" t="str">
        <f>IF(A972="","",SUM(Lançamentos!H$9:H972))</f>
        <v/>
      </c>
      <c r="I972" s="12" t="str">
        <f>IF(A972="","",SUM(Lançamentos!C$9:C972))</f>
        <v/>
      </c>
      <c r="J972" s="13" t="str">
        <f>IF(Lançamentos!J972="","",Lançamentos!J972)</f>
        <v/>
      </c>
    </row>
    <row r="973" spans="1:10" ht="23.1" customHeight="1">
      <c r="A973" s="1" t="str">
        <f>IF(ISNUMBER(Lançamentos!A973),Lançamentos!A973,"")</f>
        <v/>
      </c>
      <c r="B973" s="1" t="str">
        <f>IF(Lançamentos!B973="","",Lançamentos!B973)</f>
        <v/>
      </c>
      <c r="C973" s="12" t="str">
        <f>IF(ISNUMBER(Lançamentos!C973),Lançamentos!C973,"")</f>
        <v/>
      </c>
      <c r="D973" s="10" t="str">
        <f>IF(A973="","",SUM(Lançamentos!D$9:D973))</f>
        <v/>
      </c>
      <c r="E973" s="1"/>
      <c r="F973" s="11" t="str">
        <f>IF(A973="","",SUM(Lançamentos!F$9:F973))</f>
        <v/>
      </c>
      <c r="G973" s="11" t="str">
        <f>IF(A973="","",SUM(Lançamentos!G$9:G973))</f>
        <v/>
      </c>
      <c r="H973" s="11" t="str">
        <f>IF(A973="","",SUM(Lançamentos!H$9:H973))</f>
        <v/>
      </c>
      <c r="I973" s="12" t="str">
        <f>IF(A973="","",SUM(Lançamentos!C$9:C973))</f>
        <v/>
      </c>
      <c r="J973" s="13" t="str">
        <f>IF(Lançamentos!J973="","",Lançamentos!J973)</f>
        <v/>
      </c>
    </row>
    <row r="974" spans="1:10" ht="23.1" customHeight="1">
      <c r="A974" s="1" t="str">
        <f>IF(ISNUMBER(Lançamentos!A974),Lançamentos!A974,"")</f>
        <v/>
      </c>
      <c r="B974" s="1" t="str">
        <f>IF(Lançamentos!B974="","",Lançamentos!B974)</f>
        <v/>
      </c>
      <c r="C974" s="12" t="str">
        <f>IF(ISNUMBER(Lançamentos!C974),Lançamentos!C974,"")</f>
        <v/>
      </c>
      <c r="D974" s="10" t="str">
        <f>IF(A974="","",SUM(Lançamentos!D$9:D974))</f>
        <v/>
      </c>
      <c r="E974" s="1"/>
      <c r="F974" s="11" t="str">
        <f>IF(A974="","",SUM(Lançamentos!F$9:F974))</f>
        <v/>
      </c>
      <c r="G974" s="11" t="str">
        <f>IF(A974="","",SUM(Lançamentos!G$9:G974))</f>
        <v/>
      </c>
      <c r="H974" s="11" t="str">
        <f>IF(A974="","",SUM(Lançamentos!H$9:H974))</f>
        <v/>
      </c>
      <c r="I974" s="12" t="str">
        <f>IF(A974="","",SUM(Lançamentos!C$9:C974))</f>
        <v/>
      </c>
      <c r="J974" s="13" t="str">
        <f>IF(Lançamentos!J974="","",Lançamentos!J974)</f>
        <v/>
      </c>
    </row>
    <row r="975" spans="1:10" ht="23.1" customHeight="1">
      <c r="A975" s="1" t="str">
        <f>IF(ISNUMBER(Lançamentos!A975),Lançamentos!A975,"")</f>
        <v/>
      </c>
      <c r="B975" s="1" t="str">
        <f>IF(Lançamentos!B975="","",Lançamentos!B975)</f>
        <v/>
      </c>
      <c r="C975" s="12" t="str">
        <f>IF(ISNUMBER(Lançamentos!C975),Lançamentos!C975,"")</f>
        <v/>
      </c>
      <c r="D975" s="10" t="str">
        <f>IF(A975="","",SUM(Lançamentos!D$9:D975))</f>
        <v/>
      </c>
      <c r="E975" s="1"/>
      <c r="F975" s="11" t="str">
        <f>IF(A975="","",SUM(Lançamentos!F$9:F975))</f>
        <v/>
      </c>
      <c r="G975" s="11" t="str">
        <f>IF(A975="","",SUM(Lançamentos!G$9:G975))</f>
        <v/>
      </c>
      <c r="H975" s="11" t="str">
        <f>IF(A975="","",SUM(Lançamentos!H$9:H975))</f>
        <v/>
      </c>
      <c r="I975" s="12" t="str">
        <f>IF(A975="","",SUM(Lançamentos!C$9:C975))</f>
        <v/>
      </c>
      <c r="J975" s="13" t="str">
        <f>IF(Lançamentos!J975="","",Lançamentos!J975)</f>
        <v/>
      </c>
    </row>
    <row r="976" spans="1:10" ht="23.1" customHeight="1">
      <c r="A976" s="1" t="str">
        <f>IF(ISNUMBER(Lançamentos!A976),Lançamentos!A976,"")</f>
        <v/>
      </c>
      <c r="B976" s="1" t="str">
        <f>IF(Lançamentos!B976="","",Lançamentos!B976)</f>
        <v/>
      </c>
      <c r="C976" s="12" t="str">
        <f>IF(ISNUMBER(Lançamentos!C976),Lançamentos!C976,"")</f>
        <v/>
      </c>
      <c r="D976" s="10" t="str">
        <f>IF(A976="","",SUM(Lançamentos!D$9:D976))</f>
        <v/>
      </c>
      <c r="E976" s="1"/>
      <c r="F976" s="11" t="str">
        <f>IF(A976="","",SUM(Lançamentos!F$9:F976))</f>
        <v/>
      </c>
      <c r="G976" s="11" t="str">
        <f>IF(A976="","",SUM(Lançamentos!G$9:G976))</f>
        <v/>
      </c>
      <c r="H976" s="11" t="str">
        <f>IF(A976="","",SUM(Lançamentos!H$9:H976))</f>
        <v/>
      </c>
      <c r="I976" s="12" t="str">
        <f>IF(A976="","",SUM(Lançamentos!C$9:C976))</f>
        <v/>
      </c>
      <c r="J976" s="13" t="str">
        <f>IF(Lançamentos!J976="","",Lançamentos!J976)</f>
        <v/>
      </c>
    </row>
    <row r="977" spans="1:10" ht="23.1" customHeight="1">
      <c r="A977" s="1" t="str">
        <f>IF(ISNUMBER(Lançamentos!A977),Lançamentos!A977,"")</f>
        <v/>
      </c>
      <c r="B977" s="1" t="str">
        <f>IF(Lançamentos!B977="","",Lançamentos!B977)</f>
        <v/>
      </c>
      <c r="C977" s="12" t="str">
        <f>IF(ISNUMBER(Lançamentos!C977),Lançamentos!C977,"")</f>
        <v/>
      </c>
      <c r="D977" s="10" t="str">
        <f>IF(A977="","",SUM(Lançamentos!D$9:D977))</f>
        <v/>
      </c>
      <c r="E977" s="1"/>
      <c r="F977" s="11" t="str">
        <f>IF(A977="","",SUM(Lançamentos!F$9:F977))</f>
        <v/>
      </c>
      <c r="G977" s="11" t="str">
        <f>IF(A977="","",SUM(Lançamentos!G$9:G977))</f>
        <v/>
      </c>
      <c r="H977" s="11" t="str">
        <f>IF(A977="","",SUM(Lançamentos!H$9:H977))</f>
        <v/>
      </c>
      <c r="I977" s="12" t="str">
        <f>IF(A977="","",SUM(Lançamentos!C$9:C977))</f>
        <v/>
      </c>
      <c r="J977" s="13" t="str">
        <f>IF(Lançamentos!J977="","",Lançamentos!J977)</f>
        <v/>
      </c>
    </row>
    <row r="978" spans="1:10" ht="23.1" customHeight="1">
      <c r="A978" s="1" t="str">
        <f>IF(ISNUMBER(Lançamentos!A978),Lançamentos!A978,"")</f>
        <v/>
      </c>
      <c r="B978" s="1" t="str">
        <f>IF(Lançamentos!B978="","",Lançamentos!B978)</f>
        <v/>
      </c>
      <c r="C978" s="12" t="str">
        <f>IF(ISNUMBER(Lançamentos!C978),Lançamentos!C978,"")</f>
        <v/>
      </c>
      <c r="D978" s="10" t="str">
        <f>IF(A978="","",SUM(Lançamentos!D$9:D978))</f>
        <v/>
      </c>
      <c r="E978" s="1"/>
      <c r="F978" s="11" t="str">
        <f>IF(A978="","",SUM(Lançamentos!F$9:F978))</f>
        <v/>
      </c>
      <c r="G978" s="11" t="str">
        <f>IF(A978="","",SUM(Lançamentos!G$9:G978))</f>
        <v/>
      </c>
      <c r="H978" s="11" t="str">
        <f>IF(A978="","",SUM(Lançamentos!H$9:H978))</f>
        <v/>
      </c>
      <c r="I978" s="12" t="str">
        <f>IF(A978="","",SUM(Lançamentos!C$9:C978))</f>
        <v/>
      </c>
      <c r="J978" s="13" t="str">
        <f>IF(Lançamentos!J978="","",Lançamentos!J978)</f>
        <v/>
      </c>
    </row>
    <row r="979" spans="1:10" ht="23.1" customHeight="1">
      <c r="A979" s="1" t="str">
        <f>IF(ISNUMBER(Lançamentos!A979),Lançamentos!A979,"")</f>
        <v/>
      </c>
      <c r="B979" s="1" t="str">
        <f>IF(Lançamentos!B979="","",Lançamentos!B979)</f>
        <v/>
      </c>
      <c r="C979" s="12" t="str">
        <f>IF(ISNUMBER(Lançamentos!C979),Lançamentos!C979,"")</f>
        <v/>
      </c>
      <c r="D979" s="10" t="str">
        <f>IF(A979="","",SUM(Lançamentos!D$9:D979))</f>
        <v/>
      </c>
      <c r="E979" s="1"/>
      <c r="F979" s="11" t="str">
        <f>IF(A979="","",SUM(Lançamentos!F$9:F979))</f>
        <v/>
      </c>
      <c r="G979" s="11" t="str">
        <f>IF(A979="","",SUM(Lançamentos!G$9:G979))</f>
        <v/>
      </c>
      <c r="H979" s="11" t="str">
        <f>IF(A979="","",SUM(Lançamentos!H$9:H979))</f>
        <v/>
      </c>
      <c r="I979" s="12" t="str">
        <f>IF(A979="","",SUM(Lançamentos!C$9:C979))</f>
        <v/>
      </c>
      <c r="J979" s="13" t="str">
        <f>IF(Lançamentos!J979="","",Lançamentos!J979)</f>
        <v/>
      </c>
    </row>
    <row r="980" spans="1:10" ht="23.1" customHeight="1">
      <c r="A980" s="1" t="str">
        <f>IF(ISNUMBER(Lançamentos!A980),Lançamentos!A980,"")</f>
        <v/>
      </c>
      <c r="B980" s="1" t="str">
        <f>IF(Lançamentos!B980="","",Lançamentos!B980)</f>
        <v/>
      </c>
      <c r="C980" s="12" t="str">
        <f>IF(ISNUMBER(Lançamentos!C980),Lançamentos!C980,"")</f>
        <v/>
      </c>
      <c r="D980" s="10" t="str">
        <f>IF(A980="","",SUM(Lançamentos!D$9:D980))</f>
        <v/>
      </c>
      <c r="E980" s="1"/>
      <c r="F980" s="11" t="str">
        <f>IF(A980="","",SUM(Lançamentos!F$9:F980))</f>
        <v/>
      </c>
      <c r="G980" s="11" t="str">
        <f>IF(A980="","",SUM(Lançamentos!G$9:G980))</f>
        <v/>
      </c>
      <c r="H980" s="11" t="str">
        <f>IF(A980="","",SUM(Lançamentos!H$9:H980))</f>
        <v/>
      </c>
      <c r="I980" s="12" t="str">
        <f>IF(A980="","",SUM(Lançamentos!C$9:C980))</f>
        <v/>
      </c>
      <c r="J980" s="13" t="str">
        <f>IF(Lançamentos!J980="","",Lançamentos!J980)</f>
        <v/>
      </c>
    </row>
    <row r="981" spans="1:10" ht="23.1" customHeight="1">
      <c r="A981" s="1" t="str">
        <f>IF(ISNUMBER(Lançamentos!A981),Lançamentos!A981,"")</f>
        <v/>
      </c>
      <c r="B981" s="1" t="str">
        <f>IF(Lançamentos!B981="","",Lançamentos!B981)</f>
        <v/>
      </c>
      <c r="C981" s="12" t="str">
        <f>IF(ISNUMBER(Lançamentos!C981),Lançamentos!C981,"")</f>
        <v/>
      </c>
      <c r="D981" s="10" t="str">
        <f>IF(A981="","",SUM(Lançamentos!D$9:D981))</f>
        <v/>
      </c>
      <c r="E981" s="1"/>
      <c r="F981" s="11" t="str">
        <f>IF(A981="","",SUM(Lançamentos!F$9:F981))</f>
        <v/>
      </c>
      <c r="G981" s="11" t="str">
        <f>IF(A981="","",SUM(Lançamentos!G$9:G981))</f>
        <v/>
      </c>
      <c r="H981" s="11" t="str">
        <f>IF(A981="","",SUM(Lançamentos!H$9:H981))</f>
        <v/>
      </c>
      <c r="I981" s="12" t="str">
        <f>IF(A981="","",SUM(Lançamentos!C$9:C981))</f>
        <v/>
      </c>
      <c r="J981" s="13" t="str">
        <f>IF(Lançamentos!J981="","",Lançamentos!J981)</f>
        <v/>
      </c>
    </row>
    <row r="982" spans="1:10" ht="23.1" customHeight="1">
      <c r="A982" s="1" t="str">
        <f>IF(ISNUMBER(Lançamentos!A982),Lançamentos!A982,"")</f>
        <v/>
      </c>
      <c r="B982" s="1" t="str">
        <f>IF(Lançamentos!B982="","",Lançamentos!B982)</f>
        <v/>
      </c>
      <c r="C982" s="12" t="str">
        <f>IF(ISNUMBER(Lançamentos!C982),Lançamentos!C982,"")</f>
        <v/>
      </c>
      <c r="D982" s="10" t="str">
        <f>IF(A982="","",SUM(Lançamentos!D$9:D982))</f>
        <v/>
      </c>
      <c r="E982" s="1"/>
      <c r="F982" s="11" t="str">
        <f>IF(A982="","",SUM(Lançamentos!F$9:F982))</f>
        <v/>
      </c>
      <c r="G982" s="11" t="str">
        <f>IF(A982="","",SUM(Lançamentos!G$9:G982))</f>
        <v/>
      </c>
      <c r="H982" s="11" t="str">
        <f>IF(A982="","",SUM(Lançamentos!H$9:H982))</f>
        <v/>
      </c>
      <c r="I982" s="12" t="str">
        <f>IF(A982="","",SUM(Lançamentos!C$9:C982))</f>
        <v/>
      </c>
      <c r="J982" s="13" t="str">
        <f>IF(Lançamentos!J982="","",Lançamentos!J982)</f>
        <v/>
      </c>
    </row>
    <row r="983" spans="1:10" ht="23.1" customHeight="1">
      <c r="A983" s="1" t="str">
        <f>IF(ISNUMBER(Lançamentos!A983),Lançamentos!A983,"")</f>
        <v/>
      </c>
      <c r="B983" s="1" t="str">
        <f>IF(Lançamentos!B983="","",Lançamentos!B983)</f>
        <v/>
      </c>
      <c r="C983" s="12" t="str">
        <f>IF(ISNUMBER(Lançamentos!C983),Lançamentos!C983,"")</f>
        <v/>
      </c>
      <c r="D983" s="10" t="str">
        <f>IF(A983="","",SUM(Lançamentos!D$9:D983))</f>
        <v/>
      </c>
      <c r="E983" s="1"/>
      <c r="F983" s="11" t="str">
        <f>IF(A983="","",SUM(Lançamentos!F$9:F983))</f>
        <v/>
      </c>
      <c r="G983" s="11" t="str">
        <f>IF(A983="","",SUM(Lançamentos!G$9:G983))</f>
        <v/>
      </c>
      <c r="H983" s="11" t="str">
        <f>IF(A983="","",SUM(Lançamentos!H$9:H983))</f>
        <v/>
      </c>
      <c r="I983" s="12" t="str">
        <f>IF(A983="","",SUM(Lançamentos!C$9:C983))</f>
        <v/>
      </c>
      <c r="J983" s="13" t="str">
        <f>IF(Lançamentos!J983="","",Lançamentos!J983)</f>
        <v/>
      </c>
    </row>
    <row r="984" spans="1:10" ht="23.1" customHeight="1">
      <c r="A984" s="1" t="str">
        <f>IF(ISNUMBER(Lançamentos!A984),Lançamentos!A984,"")</f>
        <v/>
      </c>
      <c r="B984" s="1" t="str">
        <f>IF(Lançamentos!B984="","",Lançamentos!B984)</f>
        <v/>
      </c>
      <c r="C984" s="12" t="str">
        <f>IF(ISNUMBER(Lançamentos!C984),Lançamentos!C984,"")</f>
        <v/>
      </c>
      <c r="D984" s="10" t="str">
        <f>IF(A984="","",SUM(Lançamentos!D$9:D984))</f>
        <v/>
      </c>
      <c r="E984" s="1"/>
      <c r="F984" s="11" t="str">
        <f>IF(A984="","",SUM(Lançamentos!F$9:F984))</f>
        <v/>
      </c>
      <c r="G984" s="11" t="str">
        <f>IF(A984="","",SUM(Lançamentos!G$9:G984))</f>
        <v/>
      </c>
      <c r="H984" s="11" t="str">
        <f>IF(A984="","",SUM(Lançamentos!H$9:H984))</f>
        <v/>
      </c>
      <c r="I984" s="12" t="str">
        <f>IF(A984="","",SUM(Lançamentos!C$9:C984))</f>
        <v/>
      </c>
      <c r="J984" s="13" t="str">
        <f>IF(Lançamentos!J984="","",Lançamentos!J984)</f>
        <v/>
      </c>
    </row>
    <row r="985" spans="1:10" ht="23.1" customHeight="1">
      <c r="A985" s="1" t="str">
        <f>IF(ISNUMBER(Lançamentos!A985),Lançamentos!A985,"")</f>
        <v/>
      </c>
      <c r="B985" s="1" t="str">
        <f>IF(Lançamentos!B985="","",Lançamentos!B985)</f>
        <v/>
      </c>
      <c r="C985" s="12" t="str">
        <f>IF(ISNUMBER(Lançamentos!C985),Lançamentos!C985,"")</f>
        <v/>
      </c>
      <c r="D985" s="10" t="str">
        <f>IF(A985="","",SUM(Lançamentos!D$9:D985))</f>
        <v/>
      </c>
      <c r="E985" s="1"/>
      <c r="F985" s="11" t="str">
        <f>IF(A985="","",SUM(Lançamentos!F$9:F985))</f>
        <v/>
      </c>
      <c r="G985" s="11" t="str">
        <f>IF(A985="","",SUM(Lançamentos!G$9:G985))</f>
        <v/>
      </c>
      <c r="H985" s="11" t="str">
        <f>IF(A985="","",SUM(Lançamentos!H$9:H985))</f>
        <v/>
      </c>
      <c r="I985" s="12" t="str">
        <f>IF(A985="","",SUM(Lançamentos!C$9:C985))</f>
        <v/>
      </c>
      <c r="J985" s="13" t="str">
        <f>IF(Lançamentos!J985="","",Lançamentos!J985)</f>
        <v/>
      </c>
    </row>
    <row r="986" spans="1:10" ht="23.1" customHeight="1">
      <c r="A986" s="1" t="str">
        <f>IF(ISNUMBER(Lançamentos!A986),Lançamentos!A986,"")</f>
        <v/>
      </c>
      <c r="B986" s="1" t="str">
        <f>IF(Lançamentos!B986="","",Lançamentos!B986)</f>
        <v/>
      </c>
      <c r="C986" s="12" t="str">
        <f>IF(ISNUMBER(Lançamentos!C986),Lançamentos!C986,"")</f>
        <v/>
      </c>
      <c r="D986" s="10" t="str">
        <f>IF(A986="","",SUM(Lançamentos!D$9:D986))</f>
        <v/>
      </c>
      <c r="E986" s="1"/>
      <c r="F986" s="11" t="str">
        <f>IF(A986="","",SUM(Lançamentos!F$9:F986))</f>
        <v/>
      </c>
      <c r="G986" s="11" t="str">
        <f>IF(A986="","",SUM(Lançamentos!G$9:G986))</f>
        <v/>
      </c>
      <c r="H986" s="11" t="str">
        <f>IF(A986="","",SUM(Lançamentos!H$9:H986))</f>
        <v/>
      </c>
      <c r="I986" s="12" t="str">
        <f>IF(A986="","",SUM(Lançamentos!C$9:C986))</f>
        <v/>
      </c>
      <c r="J986" s="13" t="str">
        <f>IF(Lançamentos!J986="","",Lançamentos!J986)</f>
        <v/>
      </c>
    </row>
    <row r="987" spans="1:10" ht="23.1" customHeight="1">
      <c r="A987" s="1" t="str">
        <f>IF(ISNUMBER(Lançamentos!A987),Lançamentos!A987,"")</f>
        <v/>
      </c>
      <c r="B987" s="1" t="str">
        <f>IF(Lançamentos!B987="","",Lançamentos!B987)</f>
        <v/>
      </c>
      <c r="C987" s="12" t="str">
        <f>IF(ISNUMBER(Lançamentos!C987),Lançamentos!C987,"")</f>
        <v/>
      </c>
      <c r="D987" s="10" t="str">
        <f>IF(A987="","",SUM(Lançamentos!D$9:D987))</f>
        <v/>
      </c>
      <c r="E987" s="1"/>
      <c r="F987" s="11" t="str">
        <f>IF(A987="","",SUM(Lançamentos!F$9:F987))</f>
        <v/>
      </c>
      <c r="G987" s="11" t="str">
        <f>IF(A987="","",SUM(Lançamentos!G$9:G987))</f>
        <v/>
      </c>
      <c r="H987" s="11" t="str">
        <f>IF(A987="","",SUM(Lançamentos!H$9:H987))</f>
        <v/>
      </c>
      <c r="I987" s="12" t="str">
        <f>IF(A987="","",SUM(Lançamentos!C$9:C987))</f>
        <v/>
      </c>
      <c r="J987" s="13" t="str">
        <f>IF(Lançamentos!J987="","",Lançamentos!J987)</f>
        <v/>
      </c>
    </row>
    <row r="988" spans="1:10" ht="23.1" customHeight="1">
      <c r="A988" s="1" t="str">
        <f>IF(ISNUMBER(Lançamentos!A988),Lançamentos!A988,"")</f>
        <v/>
      </c>
      <c r="B988" s="1" t="str">
        <f>IF(Lançamentos!B988="","",Lançamentos!B988)</f>
        <v/>
      </c>
      <c r="C988" s="12" t="str">
        <f>IF(ISNUMBER(Lançamentos!C988),Lançamentos!C988,"")</f>
        <v/>
      </c>
      <c r="D988" s="10" t="str">
        <f>IF(A988="","",SUM(Lançamentos!D$9:D988))</f>
        <v/>
      </c>
      <c r="E988" s="1"/>
      <c r="F988" s="11" t="str">
        <f>IF(A988="","",SUM(Lançamentos!F$9:F988))</f>
        <v/>
      </c>
      <c r="G988" s="11" t="str">
        <f>IF(A988="","",SUM(Lançamentos!G$9:G988))</f>
        <v/>
      </c>
      <c r="H988" s="11" t="str">
        <f>IF(A988="","",SUM(Lançamentos!H$9:H988))</f>
        <v/>
      </c>
      <c r="I988" s="12" t="str">
        <f>IF(A988="","",SUM(Lançamentos!C$9:C988))</f>
        <v/>
      </c>
      <c r="J988" s="13" t="str">
        <f>IF(Lançamentos!J988="","",Lançamentos!J988)</f>
        <v/>
      </c>
    </row>
    <row r="989" spans="1:10" ht="23.1" customHeight="1">
      <c r="A989" s="1" t="str">
        <f>IF(ISNUMBER(Lançamentos!A989),Lançamentos!A989,"")</f>
        <v/>
      </c>
      <c r="B989" s="1" t="str">
        <f>IF(Lançamentos!B989="","",Lançamentos!B989)</f>
        <v/>
      </c>
      <c r="C989" s="12" t="str">
        <f>IF(ISNUMBER(Lançamentos!C989),Lançamentos!C989,"")</f>
        <v/>
      </c>
      <c r="D989" s="10" t="str">
        <f>IF(A989="","",SUM(Lançamentos!D$9:D989))</f>
        <v/>
      </c>
      <c r="E989" s="1"/>
      <c r="F989" s="11" t="str">
        <f>IF(A989="","",SUM(Lançamentos!F$9:F989))</f>
        <v/>
      </c>
      <c r="G989" s="11" t="str">
        <f>IF(A989="","",SUM(Lançamentos!G$9:G989))</f>
        <v/>
      </c>
      <c r="H989" s="11" t="str">
        <f>IF(A989="","",SUM(Lançamentos!H$9:H989))</f>
        <v/>
      </c>
      <c r="I989" s="12" t="str">
        <f>IF(A989="","",SUM(Lançamentos!C$9:C989))</f>
        <v/>
      </c>
      <c r="J989" s="13" t="str">
        <f>IF(Lançamentos!J989="","",Lançamentos!J989)</f>
        <v/>
      </c>
    </row>
    <row r="990" spans="1:10" ht="23.1" customHeight="1">
      <c r="A990" s="1" t="str">
        <f>IF(ISNUMBER(Lançamentos!A990),Lançamentos!A990,"")</f>
        <v/>
      </c>
      <c r="B990" s="1" t="str">
        <f>IF(Lançamentos!B990="","",Lançamentos!B990)</f>
        <v/>
      </c>
      <c r="C990" s="12" t="str">
        <f>IF(ISNUMBER(Lançamentos!C990),Lançamentos!C990,"")</f>
        <v/>
      </c>
      <c r="D990" s="10" t="str">
        <f>IF(A990="","",SUM(Lançamentos!D$9:D990))</f>
        <v/>
      </c>
      <c r="E990" s="1"/>
      <c r="F990" s="11" t="str">
        <f>IF(A990="","",SUM(Lançamentos!F$9:F990))</f>
        <v/>
      </c>
      <c r="G990" s="11" t="str">
        <f>IF(A990="","",SUM(Lançamentos!G$9:G990))</f>
        <v/>
      </c>
      <c r="H990" s="11" t="str">
        <f>IF(A990="","",SUM(Lançamentos!H$9:H990))</f>
        <v/>
      </c>
      <c r="I990" s="12" t="str">
        <f>IF(A990="","",SUM(Lançamentos!C$9:C990))</f>
        <v/>
      </c>
      <c r="J990" s="13" t="str">
        <f>IF(Lançamentos!J990="","",Lançamentos!J990)</f>
        <v/>
      </c>
    </row>
    <row r="991" spans="1:10" ht="23.1" customHeight="1">
      <c r="A991" s="1" t="str">
        <f>IF(ISNUMBER(Lançamentos!A991),Lançamentos!A991,"")</f>
        <v/>
      </c>
      <c r="B991" s="1" t="str">
        <f>IF(Lançamentos!B991="","",Lançamentos!B991)</f>
        <v/>
      </c>
      <c r="C991" s="12" t="str">
        <f>IF(ISNUMBER(Lançamentos!C991),Lançamentos!C991,"")</f>
        <v/>
      </c>
      <c r="D991" s="10" t="str">
        <f>IF(A991="","",SUM(Lançamentos!D$9:D991))</f>
        <v/>
      </c>
      <c r="E991" s="1"/>
      <c r="F991" s="11" t="str">
        <f>IF(A991="","",SUM(Lançamentos!F$9:F991))</f>
        <v/>
      </c>
      <c r="G991" s="11" t="str">
        <f>IF(A991="","",SUM(Lançamentos!G$9:G991))</f>
        <v/>
      </c>
      <c r="H991" s="11" t="str">
        <f>IF(A991="","",SUM(Lançamentos!H$9:H991))</f>
        <v/>
      </c>
      <c r="I991" s="12" t="str">
        <f>IF(A991="","",SUM(Lançamentos!C$9:C991))</f>
        <v/>
      </c>
      <c r="J991" s="13" t="str">
        <f>IF(Lançamentos!J991="","",Lançamentos!J991)</f>
        <v/>
      </c>
    </row>
    <row r="992" spans="1:10" ht="23.1" customHeight="1">
      <c r="A992" s="1" t="str">
        <f>IF(ISNUMBER(Lançamentos!A992),Lançamentos!A992,"")</f>
        <v/>
      </c>
      <c r="B992" s="1" t="str">
        <f>IF(Lançamentos!B992="","",Lançamentos!B992)</f>
        <v/>
      </c>
      <c r="C992" s="12" t="str">
        <f>IF(ISNUMBER(Lançamentos!C992),Lançamentos!C992,"")</f>
        <v/>
      </c>
      <c r="D992" s="10" t="str">
        <f>IF(A992="","",SUM(Lançamentos!D$9:D992))</f>
        <v/>
      </c>
      <c r="E992" s="1"/>
      <c r="F992" s="11" t="str">
        <f>IF(A992="","",SUM(Lançamentos!F$9:F992))</f>
        <v/>
      </c>
      <c r="G992" s="11" t="str">
        <f>IF(A992="","",SUM(Lançamentos!G$9:G992))</f>
        <v/>
      </c>
      <c r="H992" s="11" t="str">
        <f>IF(A992="","",SUM(Lançamentos!H$9:H992))</f>
        <v/>
      </c>
      <c r="I992" s="12" t="str">
        <f>IF(A992="","",SUM(Lançamentos!C$9:C992))</f>
        <v/>
      </c>
      <c r="J992" s="13" t="str">
        <f>IF(Lançamentos!J992="","",Lançamentos!J992)</f>
        <v/>
      </c>
    </row>
    <row r="993" spans="1:10" ht="23.1" customHeight="1">
      <c r="A993" s="1" t="str">
        <f>IF(ISNUMBER(Lançamentos!A993),Lançamentos!A993,"")</f>
        <v/>
      </c>
      <c r="B993" s="1" t="str">
        <f>IF(Lançamentos!B993="","",Lançamentos!B993)</f>
        <v/>
      </c>
      <c r="C993" s="12" t="str">
        <f>IF(ISNUMBER(Lançamentos!C993),Lançamentos!C993,"")</f>
        <v/>
      </c>
      <c r="D993" s="10" t="str">
        <f>IF(A993="","",SUM(Lançamentos!D$9:D993))</f>
        <v/>
      </c>
      <c r="E993" s="1"/>
      <c r="F993" s="11" t="str">
        <f>IF(A993="","",SUM(Lançamentos!F$9:F993))</f>
        <v/>
      </c>
      <c r="G993" s="11" t="str">
        <f>IF(A993="","",SUM(Lançamentos!G$9:G993))</f>
        <v/>
      </c>
      <c r="H993" s="11" t="str">
        <f>IF(A993="","",SUM(Lançamentos!H$9:H993))</f>
        <v/>
      </c>
      <c r="I993" s="12" t="str">
        <f>IF(A993="","",SUM(Lançamentos!C$9:C993))</f>
        <v/>
      </c>
      <c r="J993" s="13" t="str">
        <f>IF(Lançamentos!J993="","",Lançamentos!J993)</f>
        <v/>
      </c>
    </row>
    <row r="994" spans="1:10" ht="23.1" customHeight="1">
      <c r="A994" s="1" t="str">
        <f>IF(ISNUMBER(Lançamentos!A994),Lançamentos!A994,"")</f>
        <v/>
      </c>
      <c r="B994" s="1" t="str">
        <f>IF(Lançamentos!B994="","",Lançamentos!B994)</f>
        <v/>
      </c>
      <c r="C994" s="12" t="str">
        <f>IF(ISNUMBER(Lançamentos!C994),Lançamentos!C994,"")</f>
        <v/>
      </c>
      <c r="D994" s="10" t="str">
        <f>IF(A994="","",SUM(Lançamentos!D$9:D994))</f>
        <v/>
      </c>
      <c r="E994" s="1"/>
      <c r="F994" s="11" t="str">
        <f>IF(A994="","",SUM(Lançamentos!F$9:F994))</f>
        <v/>
      </c>
      <c r="G994" s="11" t="str">
        <f>IF(A994="","",SUM(Lançamentos!G$9:G994))</f>
        <v/>
      </c>
      <c r="H994" s="11" t="str">
        <f>IF(A994="","",SUM(Lançamentos!H$9:H994))</f>
        <v/>
      </c>
      <c r="I994" s="12" t="str">
        <f>IF(A994="","",SUM(Lançamentos!C$9:C994))</f>
        <v/>
      </c>
      <c r="J994" s="13" t="str">
        <f>IF(Lançamentos!J994="","",Lançamentos!J994)</f>
        <v/>
      </c>
    </row>
    <row r="995" spans="1:10" ht="23.1" customHeight="1">
      <c r="A995" s="1" t="str">
        <f>IF(ISNUMBER(Lançamentos!A995),Lançamentos!A995,"")</f>
        <v/>
      </c>
      <c r="B995" s="1" t="str">
        <f>IF(Lançamentos!B995="","",Lançamentos!B995)</f>
        <v/>
      </c>
      <c r="C995" s="12" t="str">
        <f>IF(ISNUMBER(Lançamentos!C995),Lançamentos!C995,"")</f>
        <v/>
      </c>
      <c r="D995" s="10" t="str">
        <f>IF(A995="","",SUM(Lançamentos!D$9:D995))</f>
        <v/>
      </c>
      <c r="E995" s="1"/>
      <c r="F995" s="11" t="str">
        <f>IF(A995="","",SUM(Lançamentos!F$9:F995))</f>
        <v/>
      </c>
      <c r="G995" s="11" t="str">
        <f>IF(A995="","",SUM(Lançamentos!G$9:G995))</f>
        <v/>
      </c>
      <c r="H995" s="11" t="str">
        <f>IF(A995="","",SUM(Lançamentos!H$9:H995))</f>
        <v/>
      </c>
      <c r="I995" s="12" t="str">
        <f>IF(A995="","",SUM(Lançamentos!C$9:C995))</f>
        <v/>
      </c>
      <c r="J995" s="13" t="str">
        <f>IF(Lançamentos!J995="","",Lançamentos!J995)</f>
        <v/>
      </c>
    </row>
    <row r="996" spans="1:10" ht="23.1" customHeight="1">
      <c r="A996" s="1" t="str">
        <f>IF(ISNUMBER(Lançamentos!A996),Lançamentos!A996,"")</f>
        <v/>
      </c>
      <c r="B996" s="1" t="str">
        <f>IF(Lançamentos!B996="","",Lançamentos!B996)</f>
        <v/>
      </c>
      <c r="C996" s="12" t="str">
        <f>IF(ISNUMBER(Lançamentos!C996),Lançamentos!C996,"")</f>
        <v/>
      </c>
      <c r="D996" s="10" t="str">
        <f>IF(A996="","",SUM(Lançamentos!D$9:D996))</f>
        <v/>
      </c>
      <c r="E996" s="1"/>
      <c r="F996" s="11" t="str">
        <f>IF(A996="","",SUM(Lançamentos!F$9:F996))</f>
        <v/>
      </c>
      <c r="G996" s="11" t="str">
        <f>IF(A996="","",SUM(Lançamentos!G$9:G996))</f>
        <v/>
      </c>
      <c r="H996" s="11" t="str">
        <f>IF(A996="","",SUM(Lançamentos!H$9:H996))</f>
        <v/>
      </c>
      <c r="I996" s="12" t="str">
        <f>IF(A996="","",SUM(Lançamentos!C$9:C996))</f>
        <v/>
      </c>
      <c r="J996" s="13" t="str">
        <f>IF(Lançamentos!J996="","",Lançamentos!J996)</f>
        <v/>
      </c>
    </row>
    <row r="997" spans="1:10" ht="23.1" customHeight="1">
      <c r="A997" s="1" t="str">
        <f>IF(ISNUMBER(Lançamentos!A997),Lançamentos!A997,"")</f>
        <v/>
      </c>
      <c r="B997" s="1" t="str">
        <f>IF(Lançamentos!B997="","",Lançamentos!B997)</f>
        <v/>
      </c>
      <c r="C997" s="12" t="str">
        <f>IF(ISNUMBER(Lançamentos!C997),Lançamentos!C997,"")</f>
        <v/>
      </c>
      <c r="D997" s="10" t="str">
        <f>IF(A997="","",SUM(Lançamentos!D$9:D997))</f>
        <v/>
      </c>
      <c r="E997" s="1"/>
      <c r="F997" s="11" t="str">
        <f>IF(A997="","",SUM(Lançamentos!F$9:F997))</f>
        <v/>
      </c>
      <c r="G997" s="11" t="str">
        <f>IF(A997="","",SUM(Lançamentos!G$9:G997))</f>
        <v/>
      </c>
      <c r="H997" s="11" t="str">
        <f>IF(A997="","",SUM(Lançamentos!H$9:H997))</f>
        <v/>
      </c>
      <c r="I997" s="12" t="str">
        <f>IF(A997="","",SUM(Lançamentos!C$9:C997))</f>
        <v/>
      </c>
      <c r="J997" s="13" t="str">
        <f>IF(Lançamentos!J997="","",Lançamentos!J997)</f>
        <v/>
      </c>
    </row>
    <row r="998" spans="1:10" ht="23.1" customHeight="1">
      <c r="A998" s="1" t="str">
        <f>IF(ISNUMBER(Lançamentos!A998),Lançamentos!A998,"")</f>
        <v/>
      </c>
      <c r="B998" s="1" t="str">
        <f>IF(Lançamentos!B998="","",Lançamentos!B998)</f>
        <v/>
      </c>
      <c r="C998" s="12" t="str">
        <f>IF(ISNUMBER(Lançamentos!C998),Lançamentos!C998,"")</f>
        <v/>
      </c>
      <c r="D998" s="10" t="str">
        <f>IF(A998="","",SUM(Lançamentos!D$9:D998))</f>
        <v/>
      </c>
      <c r="E998" s="1"/>
      <c r="F998" s="11" t="str">
        <f>IF(A998="","",SUM(Lançamentos!F$9:F998))</f>
        <v/>
      </c>
      <c r="G998" s="11" t="str">
        <f>IF(A998="","",SUM(Lançamentos!G$9:G998))</f>
        <v/>
      </c>
      <c r="H998" s="11" t="str">
        <f>IF(A998="","",SUM(Lançamentos!H$9:H998))</f>
        <v/>
      </c>
      <c r="I998" s="12" t="str">
        <f>IF(A998="","",SUM(Lançamentos!C$9:C998))</f>
        <v/>
      </c>
      <c r="J998" s="13" t="str">
        <f>IF(Lançamentos!J998="","",Lançamentos!J998)</f>
        <v/>
      </c>
    </row>
    <row r="999" spans="1:10" ht="23.1" customHeight="1">
      <c r="A999" s="1" t="str">
        <f>IF(ISNUMBER(Lançamentos!A999),Lançamentos!A999,"")</f>
        <v/>
      </c>
      <c r="B999" s="1" t="str">
        <f>IF(Lançamentos!B999="","",Lançamentos!B999)</f>
        <v/>
      </c>
      <c r="C999" s="12" t="str">
        <f>IF(ISNUMBER(Lançamentos!C999),Lançamentos!C999,"")</f>
        <v/>
      </c>
      <c r="D999" s="10" t="str">
        <f>IF(A999="","",SUM(Lançamentos!D$9:D999))</f>
        <v/>
      </c>
      <c r="E999" s="1"/>
      <c r="F999" s="11" t="str">
        <f>IF(A999="","",SUM(Lançamentos!F$9:F999))</f>
        <v/>
      </c>
      <c r="G999" s="11" t="str">
        <f>IF(A999="","",SUM(Lançamentos!G$9:G999))</f>
        <v/>
      </c>
      <c r="H999" s="11" t="str">
        <f>IF(A999="","",SUM(Lançamentos!H$9:H999))</f>
        <v/>
      </c>
      <c r="I999" s="12" t="str">
        <f>IF(A999="","",SUM(Lançamentos!C$9:C999))</f>
        <v/>
      </c>
      <c r="J999" s="13" t="str">
        <f>IF(Lançamentos!J999="","",Lançamentos!J999)</f>
        <v/>
      </c>
    </row>
    <row r="1000" spans="1:10" ht="23.1" customHeight="1">
      <c r="A1000" s="1" t="str">
        <f>IF(ISNUMBER(Lançamentos!A1000),Lançamentos!A1000,"")</f>
        <v/>
      </c>
      <c r="B1000" s="1" t="str">
        <f>IF(Lançamentos!B1000="","",Lançamentos!B1000)</f>
        <v/>
      </c>
      <c r="C1000" s="12" t="str">
        <f>IF(ISNUMBER(Lançamentos!C1000),Lançamentos!C1000,"")</f>
        <v/>
      </c>
      <c r="D1000" s="10" t="str">
        <f>IF(A1000="","",SUM(Lançamentos!D$9:D1000))</f>
        <v/>
      </c>
      <c r="E1000" s="1"/>
      <c r="F1000" s="11" t="str">
        <f>IF(A1000="","",SUM(Lançamentos!F$9:F1000))</f>
        <v/>
      </c>
      <c r="G1000" s="11" t="str">
        <f>IF(A1000="","",SUM(Lançamentos!G$9:G1000))</f>
        <v/>
      </c>
      <c r="H1000" s="11" t="str">
        <f>IF(A1000="","",SUM(Lançamentos!H$9:H1000))</f>
        <v/>
      </c>
      <c r="I1000" s="12" t="str">
        <f>IF(A1000="","",SUM(Lançamentos!C$9:C1000))</f>
        <v/>
      </c>
      <c r="J1000" s="13" t="str">
        <f>IF(Lançamentos!J1000="","",Lançamentos!J1000)</f>
        <v/>
      </c>
    </row>
    <row r="1001" spans="1:10" ht="23.1" customHeight="1">
      <c r="A1001" s="1" t="str">
        <f>IF(ISNUMBER(Lançamentos!A1001),Lançamentos!A1001,"")</f>
        <v/>
      </c>
      <c r="B1001" s="1" t="str">
        <f>IF(Lançamentos!B1001="","",Lançamentos!B1001)</f>
        <v/>
      </c>
      <c r="C1001" s="12" t="str">
        <f>IF(ISNUMBER(Lançamentos!C1001),Lançamentos!C1001,"")</f>
        <v/>
      </c>
      <c r="D1001" s="10" t="str">
        <f>IF(A1001="","",SUM(Lançamentos!D$9:D1001))</f>
        <v/>
      </c>
      <c r="E1001" s="1"/>
      <c r="F1001" s="11" t="str">
        <f>IF(A1001="","",SUM(Lançamentos!F$9:F1001))</f>
        <v/>
      </c>
      <c r="G1001" s="11" t="str">
        <f>IF(A1001="","",SUM(Lançamentos!G$9:G1001))</f>
        <v/>
      </c>
      <c r="H1001" s="11" t="str">
        <f>IF(A1001="","",SUM(Lançamentos!H$9:H1001))</f>
        <v/>
      </c>
      <c r="I1001" s="12" t="str">
        <f>IF(A1001="","",SUM(Lançamentos!C$9:C1001))</f>
        <v/>
      </c>
      <c r="J1001" s="13" t="str">
        <f>IF(Lançamentos!J1001="","",Lançamentos!J1001)</f>
        <v/>
      </c>
    </row>
    <row r="1002" spans="1:10" ht="23.1" customHeight="1">
      <c r="A1002" s="1" t="str">
        <f>IF(ISNUMBER(Lançamentos!A1002),Lançamentos!A1002,"")</f>
        <v/>
      </c>
      <c r="B1002" s="1" t="str">
        <f>IF(Lançamentos!B1002="","",Lançamentos!B1002)</f>
        <v/>
      </c>
      <c r="C1002" s="12" t="str">
        <f>IF(ISNUMBER(Lançamentos!C1002),Lançamentos!C1002,"")</f>
        <v/>
      </c>
      <c r="D1002" s="10" t="str">
        <f>IF(A1002="","",SUM(Lançamentos!D$9:D1002))</f>
        <v/>
      </c>
      <c r="E1002" s="1"/>
      <c r="F1002" s="11" t="str">
        <f>IF(A1002="","",SUM(Lançamentos!F$9:F1002))</f>
        <v/>
      </c>
      <c r="G1002" s="11" t="str">
        <f>IF(A1002="","",SUM(Lançamentos!G$9:G1002))</f>
        <v/>
      </c>
      <c r="H1002" s="11" t="str">
        <f>IF(A1002="","",SUM(Lançamentos!H$9:H1002))</f>
        <v/>
      </c>
      <c r="I1002" s="12" t="str">
        <f>IF(A1002="","",SUM(Lançamentos!C$9:C1002))</f>
        <v/>
      </c>
      <c r="J1002" s="13" t="str">
        <f>IF(Lançamentos!J1002="","",Lançamentos!J1002)</f>
        <v/>
      </c>
    </row>
    <row r="1003" spans="1:10" ht="23.1" customHeight="1">
      <c r="A1003" s="1" t="str">
        <f>IF(ISNUMBER(Lançamentos!A1003),Lançamentos!A1003,"")</f>
        <v/>
      </c>
      <c r="B1003" s="1" t="str">
        <f>IF(Lançamentos!B1003="","",Lançamentos!B1003)</f>
        <v/>
      </c>
      <c r="C1003" s="12" t="str">
        <f>IF(ISNUMBER(Lançamentos!C1003),Lançamentos!C1003,"")</f>
        <v/>
      </c>
      <c r="D1003" s="10" t="str">
        <f>IF(A1003="","",SUM(Lançamentos!D$9:D1003))</f>
        <v/>
      </c>
      <c r="E1003" s="1"/>
      <c r="F1003" s="11" t="str">
        <f>IF(A1003="","",SUM(Lançamentos!F$9:F1003))</f>
        <v/>
      </c>
      <c r="G1003" s="11" t="str">
        <f>IF(A1003="","",SUM(Lançamentos!G$9:G1003))</f>
        <v/>
      </c>
      <c r="H1003" s="11" t="str">
        <f>IF(A1003="","",SUM(Lançamentos!H$9:H1003))</f>
        <v/>
      </c>
      <c r="I1003" s="12" t="str">
        <f>IF(A1003="","",SUM(Lançamentos!C$9:C1003))</f>
        <v/>
      </c>
      <c r="J1003" s="13" t="str">
        <f>IF(Lançamentos!J1003="","",Lançamentos!J1003)</f>
        <v/>
      </c>
    </row>
    <row r="1004" spans="1:10" ht="23.1" customHeight="1">
      <c r="A1004" s="1" t="str">
        <f>IF(ISNUMBER(Lançamentos!A1004),Lançamentos!A1004,"")</f>
        <v/>
      </c>
      <c r="B1004" s="1" t="str">
        <f>IF(Lançamentos!B1004="","",Lançamentos!B1004)</f>
        <v/>
      </c>
      <c r="C1004" s="12" t="str">
        <f>IF(ISNUMBER(Lançamentos!C1004),Lançamentos!C1004,"")</f>
        <v/>
      </c>
      <c r="D1004" s="10" t="str">
        <f>IF(A1004="","",SUM(Lançamentos!D$9:D1004))</f>
        <v/>
      </c>
      <c r="E1004" s="1"/>
      <c r="F1004" s="11" t="str">
        <f>IF(A1004="","",SUM(Lançamentos!F$9:F1004))</f>
        <v/>
      </c>
      <c r="G1004" s="11" t="str">
        <f>IF(A1004="","",SUM(Lançamentos!G$9:G1004))</f>
        <v/>
      </c>
      <c r="H1004" s="11" t="str">
        <f>IF(A1004="","",SUM(Lançamentos!H$9:H1004))</f>
        <v/>
      </c>
      <c r="I1004" s="12" t="str">
        <f>IF(A1004="","",SUM(Lançamentos!C$9:C1004))</f>
        <v/>
      </c>
      <c r="J1004" s="13" t="str">
        <f>IF(Lançamentos!J1004="","",Lançamentos!J1004)</f>
        <v/>
      </c>
    </row>
    <row r="1005" spans="1:10" ht="23.1" customHeight="1">
      <c r="A1005" s="1" t="str">
        <f>IF(ISNUMBER(Lançamentos!A1005),Lançamentos!A1005,"")</f>
        <v/>
      </c>
      <c r="B1005" s="1" t="str">
        <f>IF(Lançamentos!B1005="","",Lançamentos!B1005)</f>
        <v/>
      </c>
      <c r="C1005" s="12" t="str">
        <f>IF(ISNUMBER(Lançamentos!C1005),Lançamentos!C1005,"")</f>
        <v/>
      </c>
      <c r="D1005" s="10" t="str">
        <f>IF(A1005="","",SUM(Lançamentos!D$9:D1005))</f>
        <v/>
      </c>
      <c r="E1005" s="1"/>
      <c r="F1005" s="11" t="str">
        <f>IF(A1005="","",SUM(Lançamentos!F$9:F1005))</f>
        <v/>
      </c>
      <c r="G1005" s="11" t="str">
        <f>IF(A1005="","",SUM(Lançamentos!G$9:G1005))</f>
        <v/>
      </c>
      <c r="H1005" s="11" t="str">
        <f>IF(A1005="","",SUM(Lançamentos!H$9:H1005))</f>
        <v/>
      </c>
      <c r="I1005" s="12" t="str">
        <f>IF(A1005="","",SUM(Lançamentos!C$9:C1005))</f>
        <v/>
      </c>
      <c r="J1005" s="13" t="str">
        <f>IF(Lançamentos!J1005="","",Lançamentos!J1005)</f>
        <v/>
      </c>
    </row>
    <row r="1006" spans="1:10" ht="23.1" customHeight="1">
      <c r="A1006" s="1" t="str">
        <f>IF(ISNUMBER(Lançamentos!A1006),Lançamentos!A1006,"")</f>
        <v/>
      </c>
      <c r="B1006" s="1" t="str">
        <f>IF(Lançamentos!B1006="","",Lançamentos!B1006)</f>
        <v/>
      </c>
      <c r="C1006" s="12" t="str">
        <f>IF(ISNUMBER(Lançamentos!C1006),Lançamentos!C1006,"")</f>
        <v/>
      </c>
      <c r="D1006" s="10" t="str">
        <f>IF(A1006="","",SUM(Lançamentos!D$9:D1006))</f>
        <v/>
      </c>
      <c r="E1006" s="1"/>
      <c r="F1006" s="11" t="str">
        <f>IF(A1006="","",SUM(Lançamentos!F$9:F1006))</f>
        <v/>
      </c>
      <c r="G1006" s="11" t="str">
        <f>IF(A1006="","",SUM(Lançamentos!G$9:G1006))</f>
        <v/>
      </c>
      <c r="H1006" s="11" t="str">
        <f>IF(A1006="","",SUM(Lançamentos!H$9:H1006))</f>
        <v/>
      </c>
      <c r="I1006" s="12" t="str">
        <f>IF(A1006="","",SUM(Lançamentos!C$9:C1006))</f>
        <v/>
      </c>
      <c r="J1006" s="13" t="str">
        <f>IF(Lançamentos!J1006="","",Lançamentos!J1006)</f>
        <v/>
      </c>
    </row>
    <row r="1007" spans="1:10" ht="23.1" customHeight="1">
      <c r="A1007" s="1" t="str">
        <f>IF(ISNUMBER(Lançamentos!A1007),Lançamentos!A1007,"")</f>
        <v/>
      </c>
      <c r="B1007" s="1" t="str">
        <f>IF(Lançamentos!B1007="","",Lançamentos!B1007)</f>
        <v/>
      </c>
      <c r="C1007" s="12" t="str">
        <f>IF(ISNUMBER(Lançamentos!C1007),Lançamentos!C1007,"")</f>
        <v/>
      </c>
      <c r="D1007" s="10" t="str">
        <f>IF(A1007="","",SUM(Lançamentos!D$9:D1007))</f>
        <v/>
      </c>
      <c r="E1007" s="1"/>
      <c r="F1007" s="11" t="str">
        <f>IF(A1007="","",SUM(Lançamentos!F$9:F1007))</f>
        <v/>
      </c>
      <c r="G1007" s="11" t="str">
        <f>IF(A1007="","",SUM(Lançamentos!G$9:G1007))</f>
        <v/>
      </c>
      <c r="H1007" s="11" t="str">
        <f>IF(A1007="","",SUM(Lançamentos!H$9:H1007))</f>
        <v/>
      </c>
      <c r="I1007" s="12" t="str">
        <f>IF(A1007="","",SUM(Lançamentos!C$9:C1007))</f>
        <v/>
      </c>
      <c r="J1007" s="13" t="str">
        <f>IF(Lançamentos!J1007="","",Lançamentos!J1007)</f>
        <v/>
      </c>
    </row>
    <row r="1008" spans="1:10" ht="23.1" customHeight="1">
      <c r="A1008" s="1" t="str">
        <f>IF(ISNUMBER(Lançamentos!A1008),Lançamentos!A1008,"")</f>
        <v/>
      </c>
      <c r="B1008" s="1" t="str">
        <f>IF(Lançamentos!B1008="","",Lançamentos!B1008)</f>
        <v/>
      </c>
      <c r="C1008" s="12" t="str">
        <f>IF(ISNUMBER(Lançamentos!C1008),Lançamentos!C1008,"")</f>
        <v/>
      </c>
      <c r="D1008" s="10" t="str">
        <f>IF(A1008="","",SUM(Lançamentos!D$9:D1008))</f>
        <v/>
      </c>
      <c r="E1008" s="1"/>
      <c r="F1008" s="11" t="str">
        <f>IF(A1008="","",SUM(Lançamentos!F$9:F1008))</f>
        <v/>
      </c>
      <c r="G1008" s="11" t="str">
        <f>IF(A1008="","",SUM(Lançamentos!G$9:G1008))</f>
        <v/>
      </c>
      <c r="H1008" s="11" t="str">
        <f>IF(A1008="","",SUM(Lançamentos!H$9:H1008))</f>
        <v/>
      </c>
      <c r="I1008" s="12" t="str">
        <f>IF(A1008="","",SUM(Lançamentos!C$9:C1008))</f>
        <v/>
      </c>
      <c r="J1008" s="13" t="str">
        <f>IF(Lançamentos!J1008="","",Lançamentos!J1008)</f>
        <v/>
      </c>
    </row>
  </sheetData>
  <sheetProtection password="D3E1" sheet="1" objects="1" scenarios="1"/>
  <mergeCells count="4">
    <mergeCell ref="A2:J2"/>
    <mergeCell ref="A4:B4"/>
    <mergeCell ref="A6:J6"/>
    <mergeCell ref="F7:H7"/>
  </mergeCells>
  <conditionalFormatting sqref="J9:J1008">
    <cfRule type="expression" dxfId="0" priority="1">
      <formula>AND($J9&lt;&gt;"",$J9&lt;&gt;"Completo")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Lançamentos</vt:lpstr>
      <vt:lpstr>Fechamento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ernanicmaciel@gmail.com</dc:creator>
  <cp:lastModifiedBy>Servidor</cp:lastModifiedBy>
  <dcterms:created xsi:type="dcterms:W3CDTF">2026-10-15T15:34:44Z</dcterms:created>
  <dcterms:modified xsi:type="dcterms:W3CDTF">2026-10-15T18:38:00Z</dcterms:modified>
</cp:coreProperties>
</file>